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2EF23870-909F-4853-83C9-67F6FC893DC5}" xr6:coauthVersionLast="47" xr6:coauthVersionMax="47" xr10:uidLastSave="{00000000-0000-0000-0000-000000000000}"/>
  <bookViews>
    <workbookView xWindow="-110" yWindow="-110" windowWidth="25820" windowHeight="15500" xr2:uid="{853FE71B-B1B0-4F8E-9FCB-2B4F959CF9B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6" i="1" l="1"/>
  <c r="S146" i="1" s="1"/>
  <c r="I146" i="1"/>
  <c r="J145" i="1"/>
  <c r="S145" i="1" s="1"/>
  <c r="I145" i="1"/>
  <c r="J144" i="1"/>
  <c r="S144" i="1" s="1"/>
  <c r="I144" i="1"/>
  <c r="S143" i="1"/>
  <c r="J143" i="1"/>
  <c r="I143" i="1" s="1"/>
  <c r="S142" i="1"/>
  <c r="J142" i="1"/>
  <c r="I142" i="1"/>
  <c r="J141" i="1"/>
  <c r="S141" i="1" s="1"/>
  <c r="I141" i="1"/>
  <c r="J140" i="1"/>
  <c r="S140" i="1" s="1"/>
  <c r="I140" i="1"/>
  <c r="J139" i="1"/>
  <c r="S139" i="1" s="1"/>
  <c r="I139" i="1"/>
  <c r="J138" i="1"/>
  <c r="S138" i="1" s="1"/>
  <c r="I138" i="1"/>
  <c r="J137" i="1"/>
  <c r="S137" i="1" s="1"/>
  <c r="I137" i="1"/>
  <c r="S136" i="1"/>
  <c r="J136" i="1"/>
  <c r="I136" i="1" s="1"/>
  <c r="J135" i="1"/>
  <c r="S135" i="1" s="1"/>
  <c r="I135" i="1"/>
  <c r="J134" i="1"/>
  <c r="S134" i="1" s="1"/>
  <c r="I134" i="1"/>
  <c r="J133" i="1"/>
  <c r="S133" i="1" s="1"/>
  <c r="I133" i="1"/>
  <c r="J132" i="1"/>
  <c r="S132" i="1" s="1"/>
  <c r="I132" i="1"/>
  <c r="J131" i="1"/>
  <c r="S131" i="1" s="1"/>
  <c r="I131" i="1"/>
  <c r="J130" i="1"/>
  <c r="I130" i="1" s="1"/>
  <c r="S129" i="1"/>
  <c r="J129" i="1"/>
  <c r="I129" i="1" s="1"/>
  <c r="J128" i="1"/>
  <c r="S128" i="1" s="1"/>
  <c r="I128" i="1"/>
  <c r="J127" i="1"/>
  <c r="S127" i="1" s="1"/>
  <c r="I127" i="1"/>
  <c r="J126" i="1"/>
  <c r="S126" i="1" s="1"/>
  <c r="I126" i="1"/>
  <c r="J125" i="1"/>
  <c r="S125" i="1" s="1"/>
  <c r="I125" i="1"/>
  <c r="J124" i="1"/>
  <c r="S124" i="1" s="1"/>
  <c r="I124" i="1"/>
  <c r="S123" i="1"/>
  <c r="J123" i="1"/>
  <c r="I123" i="1" s="1"/>
  <c r="S122" i="1"/>
  <c r="J122" i="1"/>
  <c r="I122" i="1"/>
  <c r="J121" i="1"/>
  <c r="S121" i="1" s="1"/>
  <c r="I121" i="1"/>
  <c r="J120" i="1"/>
  <c r="S120" i="1" s="1"/>
  <c r="I120" i="1"/>
  <c r="J119" i="1"/>
  <c r="S119" i="1" s="1"/>
  <c r="I119" i="1"/>
  <c r="J118" i="1"/>
  <c r="S118" i="1" s="1"/>
  <c r="I118" i="1"/>
  <c r="J117" i="1"/>
  <c r="S117" i="1" s="1"/>
  <c r="I117" i="1"/>
  <c r="S116" i="1"/>
  <c r="J116" i="1"/>
  <c r="I116" i="1" s="1"/>
  <c r="J115" i="1"/>
  <c r="S115" i="1" s="1"/>
  <c r="I115" i="1"/>
  <c r="J114" i="1"/>
  <c r="S114" i="1" s="1"/>
  <c r="I114" i="1"/>
  <c r="J113" i="1"/>
  <c r="S113" i="1" s="1"/>
  <c r="I113" i="1"/>
  <c r="J112" i="1"/>
  <c r="S112" i="1" s="1"/>
  <c r="I112" i="1"/>
  <c r="J111" i="1"/>
  <c r="S111" i="1" s="1"/>
  <c r="I111" i="1"/>
  <c r="D111" i="1"/>
  <c r="S110" i="1"/>
  <c r="J110" i="1"/>
  <c r="I110" i="1" s="1"/>
  <c r="D110" i="1"/>
  <c r="J109" i="1"/>
  <c r="S109" i="1" s="1"/>
  <c r="I109" i="1"/>
  <c r="D109" i="1"/>
  <c r="J108" i="1"/>
  <c r="S108" i="1" s="1"/>
  <c r="I108" i="1"/>
  <c r="D108" i="1"/>
  <c r="J107" i="1"/>
  <c r="S107" i="1" s="1"/>
  <c r="I107" i="1"/>
  <c r="D107" i="1"/>
  <c r="J106" i="1"/>
  <c r="S106" i="1" s="1"/>
  <c r="I106" i="1"/>
  <c r="D106" i="1"/>
  <c r="S105" i="1"/>
  <c r="J105" i="1"/>
  <c r="I105" i="1" s="1"/>
  <c r="D105" i="1"/>
  <c r="J104" i="1"/>
  <c r="S104" i="1" s="1"/>
  <c r="I104" i="1"/>
  <c r="D104" i="1"/>
  <c r="J103" i="1"/>
  <c r="S103" i="1" s="1"/>
  <c r="I103" i="1"/>
  <c r="D103" i="1"/>
  <c r="J102" i="1"/>
  <c r="S102" i="1" s="1"/>
  <c r="I102" i="1"/>
  <c r="D102" i="1"/>
  <c r="J101" i="1"/>
  <c r="S101" i="1" s="1"/>
  <c r="I101" i="1"/>
  <c r="D101" i="1"/>
  <c r="S100" i="1"/>
  <c r="J100" i="1"/>
  <c r="I100" i="1" s="1"/>
  <c r="D100" i="1"/>
  <c r="J99" i="1"/>
  <c r="S99" i="1" s="1"/>
  <c r="I99" i="1"/>
  <c r="D99" i="1"/>
  <c r="J98" i="1"/>
  <c r="S98" i="1" s="1"/>
  <c r="I98" i="1"/>
  <c r="D98" i="1"/>
  <c r="J97" i="1"/>
  <c r="S97" i="1" s="1"/>
  <c r="I97" i="1"/>
  <c r="D97" i="1"/>
  <c r="J96" i="1"/>
  <c r="S96" i="1" s="1"/>
  <c r="I96" i="1"/>
  <c r="D96" i="1"/>
  <c r="S95" i="1"/>
  <c r="J95" i="1"/>
  <c r="I95" i="1" s="1"/>
  <c r="D95" i="1"/>
  <c r="J94" i="1"/>
  <c r="S94" i="1" s="1"/>
  <c r="I94" i="1"/>
  <c r="D94" i="1"/>
  <c r="J93" i="1"/>
  <c r="S93" i="1" s="1"/>
  <c r="I93" i="1"/>
  <c r="D93" i="1"/>
  <c r="J92" i="1"/>
  <c r="S92" i="1" s="1"/>
  <c r="I92" i="1"/>
  <c r="D92" i="1"/>
  <c r="J91" i="1"/>
  <c r="S91" i="1" s="1"/>
  <c r="I91" i="1"/>
  <c r="D91" i="1"/>
  <c r="S90" i="1"/>
  <c r="J90" i="1"/>
  <c r="I90" i="1"/>
  <c r="D90" i="1"/>
  <c r="J89" i="1"/>
  <c r="S89" i="1" s="1"/>
  <c r="I89" i="1"/>
  <c r="D89" i="1"/>
  <c r="J88" i="1"/>
  <c r="S88" i="1" s="1"/>
  <c r="I88" i="1"/>
  <c r="D88" i="1"/>
  <c r="J87" i="1"/>
  <c r="S87" i="1" s="1"/>
  <c r="I87" i="1"/>
  <c r="D87" i="1"/>
  <c r="J86" i="1"/>
  <c r="S86" i="1" s="1"/>
  <c r="I86" i="1"/>
  <c r="D86" i="1"/>
  <c r="S85" i="1"/>
  <c r="J85" i="1"/>
  <c r="I85" i="1"/>
  <c r="D85" i="1"/>
  <c r="J84" i="1"/>
  <c r="S84" i="1" s="1"/>
  <c r="I84" i="1"/>
  <c r="D84" i="1"/>
  <c r="J83" i="1"/>
  <c r="S83" i="1" s="1"/>
  <c r="I83" i="1"/>
  <c r="D83" i="1"/>
  <c r="J82" i="1"/>
  <c r="S82" i="1" s="1"/>
  <c r="I82" i="1"/>
  <c r="D82" i="1"/>
  <c r="J81" i="1"/>
  <c r="S81" i="1" s="1"/>
  <c r="I81" i="1"/>
  <c r="D81" i="1"/>
  <c r="S80" i="1"/>
  <c r="J80" i="1"/>
  <c r="I80" i="1"/>
  <c r="D80" i="1"/>
  <c r="J79" i="1"/>
  <c r="S79" i="1" s="1"/>
  <c r="I79" i="1"/>
  <c r="D79" i="1"/>
  <c r="J78" i="1"/>
  <c r="S78" i="1" s="1"/>
  <c r="I78" i="1"/>
  <c r="D78" i="1"/>
  <c r="J77" i="1"/>
  <c r="S77" i="1" s="1"/>
  <c r="I77" i="1"/>
  <c r="D77" i="1"/>
  <c r="J76" i="1"/>
  <c r="S76" i="1" s="1"/>
  <c r="I76" i="1"/>
  <c r="D76" i="1"/>
  <c r="S75" i="1"/>
  <c r="J75" i="1"/>
  <c r="I75" i="1"/>
  <c r="D75" i="1"/>
  <c r="J74" i="1"/>
  <c r="S74" i="1" s="1"/>
  <c r="I74" i="1"/>
  <c r="D74" i="1"/>
  <c r="J73" i="1"/>
  <c r="S73" i="1" s="1"/>
  <c r="I73" i="1"/>
  <c r="D73" i="1"/>
  <c r="J72" i="1"/>
  <c r="S72" i="1" s="1"/>
  <c r="I72" i="1"/>
  <c r="D72" i="1"/>
  <c r="J71" i="1"/>
  <c r="S71" i="1" s="1"/>
  <c r="I71" i="1"/>
  <c r="D71" i="1"/>
  <c r="S70" i="1"/>
  <c r="J70" i="1"/>
  <c r="I70" i="1"/>
  <c r="D70" i="1"/>
  <c r="J69" i="1"/>
  <c r="S69" i="1" s="1"/>
  <c r="I69" i="1"/>
  <c r="D69" i="1"/>
  <c r="J68" i="1"/>
  <c r="S68" i="1" s="1"/>
  <c r="I68" i="1"/>
  <c r="D68" i="1"/>
  <c r="J67" i="1"/>
  <c r="S67" i="1" s="1"/>
  <c r="I67" i="1"/>
  <c r="D67" i="1"/>
  <c r="J66" i="1"/>
  <c r="S66" i="1" s="1"/>
  <c r="I66" i="1"/>
  <c r="D66" i="1"/>
  <c r="S65" i="1"/>
  <c r="J65" i="1"/>
  <c r="I65" i="1"/>
  <c r="D65" i="1"/>
  <c r="J64" i="1"/>
  <c r="S64" i="1" s="1"/>
  <c r="I64" i="1"/>
  <c r="D64" i="1"/>
  <c r="J63" i="1"/>
  <c r="S63" i="1" s="1"/>
  <c r="I63" i="1"/>
  <c r="D63" i="1"/>
  <c r="J62" i="1"/>
  <c r="S62" i="1" s="1"/>
  <c r="I62" i="1"/>
  <c r="D62" i="1"/>
  <c r="J61" i="1"/>
  <c r="S61" i="1" s="1"/>
  <c r="I61" i="1"/>
  <c r="D61" i="1"/>
  <c r="S60" i="1"/>
  <c r="J60" i="1"/>
  <c r="I60" i="1"/>
  <c r="D60" i="1"/>
  <c r="J59" i="1"/>
  <c r="S59" i="1" s="1"/>
  <c r="I59" i="1"/>
  <c r="D59" i="1"/>
  <c r="J58" i="1"/>
  <c r="S58" i="1" s="1"/>
  <c r="I58" i="1"/>
  <c r="D58" i="1"/>
  <c r="J57" i="1"/>
  <c r="S57" i="1" s="1"/>
  <c r="I57" i="1"/>
  <c r="D57" i="1"/>
  <c r="J56" i="1"/>
  <c r="S56" i="1" s="1"/>
  <c r="I56" i="1"/>
  <c r="D56" i="1"/>
  <c r="S55" i="1"/>
  <c r="J55" i="1"/>
  <c r="I55" i="1"/>
  <c r="D55" i="1"/>
  <c r="J54" i="1"/>
  <c r="S54" i="1" s="1"/>
  <c r="I54" i="1"/>
  <c r="D54" i="1"/>
  <c r="J53" i="1"/>
  <c r="S53" i="1" s="1"/>
  <c r="I53" i="1"/>
  <c r="D53" i="1"/>
  <c r="J52" i="1"/>
  <c r="S52" i="1" s="1"/>
  <c r="I52" i="1"/>
  <c r="D52" i="1"/>
  <c r="J51" i="1"/>
  <c r="S51" i="1" s="1"/>
  <c r="I51" i="1"/>
  <c r="D51" i="1"/>
  <c r="S50" i="1"/>
  <c r="J50" i="1"/>
  <c r="I50" i="1"/>
  <c r="D50" i="1"/>
  <c r="J49" i="1"/>
  <c r="S49" i="1" s="1"/>
  <c r="I49" i="1"/>
  <c r="D49" i="1"/>
  <c r="J48" i="1"/>
  <c r="S48" i="1" s="1"/>
  <c r="I48" i="1"/>
  <c r="D48" i="1"/>
  <c r="J47" i="1"/>
  <c r="S47" i="1" s="1"/>
  <c r="I47" i="1"/>
  <c r="D47" i="1"/>
  <c r="J46" i="1"/>
  <c r="S46" i="1" s="1"/>
  <c r="I46" i="1"/>
  <c r="D46" i="1"/>
  <c r="S45" i="1"/>
  <c r="J45" i="1"/>
  <c r="I45" i="1"/>
  <c r="D45" i="1"/>
  <c r="J44" i="1"/>
  <c r="S44" i="1" s="1"/>
  <c r="I44" i="1"/>
  <c r="D44" i="1"/>
  <c r="J43" i="1"/>
  <c r="S43" i="1" s="1"/>
  <c r="I43" i="1"/>
  <c r="D43" i="1"/>
  <c r="J42" i="1"/>
  <c r="S42" i="1" s="1"/>
  <c r="I42" i="1"/>
  <c r="D42" i="1"/>
  <c r="J41" i="1"/>
  <c r="S41" i="1" s="1"/>
  <c r="I41" i="1"/>
  <c r="D41" i="1"/>
  <c r="S40" i="1"/>
  <c r="J40" i="1"/>
  <c r="I40" i="1"/>
  <c r="D40" i="1"/>
  <c r="J39" i="1"/>
  <c r="S39" i="1" s="1"/>
  <c r="I39" i="1"/>
  <c r="D39" i="1"/>
  <c r="J38" i="1"/>
  <c r="S38" i="1" s="1"/>
  <c r="I38" i="1"/>
  <c r="D38" i="1"/>
  <c r="J37" i="1"/>
  <c r="S37" i="1" s="1"/>
  <c r="I37" i="1"/>
  <c r="D37" i="1"/>
  <c r="J36" i="1"/>
  <c r="S36" i="1" s="1"/>
  <c r="I36" i="1"/>
  <c r="D36" i="1"/>
  <c r="S35" i="1"/>
  <c r="J35" i="1"/>
  <c r="I35" i="1"/>
  <c r="D35" i="1"/>
  <c r="J34" i="1"/>
  <c r="S34" i="1" s="1"/>
  <c r="I34" i="1"/>
  <c r="D34" i="1"/>
  <c r="J33" i="1"/>
  <c r="S33" i="1" s="1"/>
  <c r="I33" i="1"/>
  <c r="D33" i="1"/>
  <c r="J32" i="1"/>
  <c r="S32" i="1" s="1"/>
  <c r="I32" i="1"/>
  <c r="D32" i="1"/>
  <c r="J31" i="1"/>
  <c r="S31" i="1" s="1"/>
  <c r="I31" i="1"/>
  <c r="D31" i="1"/>
  <c r="S30" i="1"/>
  <c r="J30" i="1"/>
  <c r="I30" i="1"/>
  <c r="D30" i="1"/>
  <c r="J29" i="1"/>
  <c r="S29" i="1" s="1"/>
  <c r="I29" i="1"/>
  <c r="D29" i="1"/>
  <c r="J28" i="1"/>
  <c r="S28" i="1" s="1"/>
  <c r="I28" i="1"/>
  <c r="D28" i="1"/>
  <c r="J27" i="1"/>
  <c r="S27" i="1" s="1"/>
  <c r="I27" i="1"/>
  <c r="D27" i="1"/>
  <c r="J26" i="1"/>
  <c r="S26" i="1" s="1"/>
  <c r="I26" i="1"/>
  <c r="D26" i="1"/>
  <c r="S25" i="1"/>
  <c r="J25" i="1"/>
  <c r="I25" i="1"/>
  <c r="D25" i="1"/>
  <c r="J24" i="1"/>
  <c r="S24" i="1" s="1"/>
  <c r="I24" i="1"/>
  <c r="D24" i="1"/>
  <c r="J23" i="1"/>
  <c r="S23" i="1" s="1"/>
  <c r="I23" i="1"/>
  <c r="D23" i="1"/>
  <c r="J22" i="1"/>
  <c r="S22" i="1" s="1"/>
  <c r="I22" i="1"/>
  <c r="D22" i="1"/>
  <c r="J21" i="1"/>
  <c r="S21" i="1" s="1"/>
  <c r="I21" i="1"/>
  <c r="D21" i="1"/>
  <c r="S20" i="1"/>
  <c r="J20" i="1"/>
  <c r="I20" i="1"/>
  <c r="D20" i="1"/>
  <c r="J19" i="1"/>
  <c r="S19" i="1" s="1"/>
  <c r="I19" i="1"/>
  <c r="D19" i="1"/>
  <c r="J18" i="1"/>
  <c r="S18" i="1" s="1"/>
  <c r="I18" i="1"/>
  <c r="D18" i="1"/>
  <c r="J17" i="1"/>
  <c r="S17" i="1" s="1"/>
  <c r="I17" i="1"/>
  <c r="D17" i="1"/>
  <c r="J16" i="1"/>
  <c r="S16" i="1" s="1"/>
  <c r="I16" i="1"/>
  <c r="D16" i="1"/>
  <c r="S15" i="1"/>
  <c r="J15" i="1"/>
  <c r="I15" i="1"/>
  <c r="D15" i="1"/>
  <c r="J14" i="1"/>
  <c r="S14" i="1" s="1"/>
  <c r="I14" i="1"/>
  <c r="D14" i="1"/>
  <c r="J13" i="1"/>
  <c r="S13" i="1" s="1"/>
  <c r="I13" i="1"/>
  <c r="D13" i="1"/>
  <c r="J12" i="1"/>
  <c r="S12" i="1" s="1"/>
  <c r="I12" i="1"/>
  <c r="D12" i="1"/>
  <c r="J11" i="1"/>
  <c r="S11" i="1" s="1"/>
  <c r="I11" i="1"/>
  <c r="D11" i="1"/>
  <c r="S10" i="1"/>
  <c r="J10" i="1"/>
  <c r="I10" i="1"/>
  <c r="D10" i="1"/>
  <c r="J9" i="1"/>
  <c r="S9" i="1" s="1"/>
  <c r="I9" i="1"/>
  <c r="D9" i="1"/>
  <c r="J8" i="1"/>
  <c r="S8" i="1" s="1"/>
  <c r="I8" i="1"/>
  <c r="D8" i="1"/>
  <c r="J7" i="1"/>
  <c r="S7" i="1" s="1"/>
  <c r="I7" i="1"/>
  <c r="D7" i="1"/>
  <c r="J6" i="1"/>
  <c r="S6" i="1" s="1"/>
  <c r="I6" i="1"/>
  <c r="D6" i="1"/>
  <c r="S5" i="1"/>
  <c r="J5" i="1"/>
  <c r="I5" i="1"/>
  <c r="D5" i="1"/>
  <c r="S130" i="1" l="1"/>
</calcChain>
</file>

<file path=xl/sharedStrings.xml><?xml version="1.0" encoding="utf-8"?>
<sst xmlns="http://schemas.openxmlformats.org/spreadsheetml/2006/main" count="628" uniqueCount="113">
  <si>
    <t xml:space="preserve">P1. THÔNG TIN CHI TIẾT HÀNG HÓA </t>
  </si>
  <si>
    <t>P2. BÁO CÁO KIỂM HÀNG CHI TIẾT HẰNG NGÀY</t>
  </si>
  <si>
    <t>P3. THEO DỎI NĂNG SUẤT</t>
  </si>
  <si>
    <t>Ngày 
kiểm hàng</t>
  </si>
  <si>
    <t>Nội dung 
kiểm hàng</t>
  </si>
  <si>
    <t>Mã hàng</t>
    <phoneticPr fontId="0"/>
  </si>
  <si>
    <t>Thương hiệu</t>
  </si>
  <si>
    <t>Tên hàng</t>
    <phoneticPr fontId="0"/>
  </si>
  <si>
    <t>Màu</t>
    <phoneticPr fontId="0"/>
  </si>
  <si>
    <t>Size</t>
    <phoneticPr fontId="0"/>
  </si>
  <si>
    <t xml:space="preserve">SL kiểm
 hàng </t>
  </si>
  <si>
    <t>Hàng 
đạt</t>
  </si>
  <si>
    <t>Hàng 
hư</t>
  </si>
  <si>
    <t xml:space="preserve">Thông số </t>
    <phoneticPr fontId="0"/>
  </si>
  <si>
    <t>Phụ liệu</t>
    <phoneticPr fontId="0"/>
  </si>
  <si>
    <t>Ngoại quan</t>
  </si>
  <si>
    <t>Vải</t>
    <phoneticPr fontId="0"/>
  </si>
  <si>
    <t>Dơ</t>
  </si>
  <si>
    <t xml:space="preserve">Lổi may </t>
  </si>
  <si>
    <t>Khác</t>
  </si>
  <si>
    <t>Kiểm Kim</t>
  </si>
  <si>
    <t>Tỉ lệ lỗi</t>
  </si>
  <si>
    <t>SL BOOK</t>
  </si>
  <si>
    <t>SL BOOK CHÊNH LỆCH</t>
  </si>
  <si>
    <t xml:space="preserve">SL QC </t>
  </si>
  <si>
    <t>GIỜ ĐI ĐƯỜNG</t>
  </si>
  <si>
    <t xml:space="preserve">THỜI GIAN LÀM VIỆC
</t>
  </si>
  <si>
    <t xml:space="preserve">THỜI GIAN TĂNG CA
</t>
  </si>
  <si>
    <t xml:space="preserve">MD
</t>
  </si>
  <si>
    <t xml:space="preserve">TỔ TRƯỞNG
</t>
  </si>
  <si>
    <t>ĐIỂM NĂNG SUẤT</t>
  </si>
  <si>
    <t>GHI CHÚ</t>
  </si>
  <si>
    <t>Date</t>
    <phoneticPr fontId="0"/>
  </si>
  <si>
    <t>Inspection</t>
  </si>
  <si>
    <t>Style No</t>
    <phoneticPr fontId="0"/>
  </si>
  <si>
    <t>Brand</t>
    <phoneticPr fontId="0"/>
  </si>
  <si>
    <t>Item</t>
    <phoneticPr fontId="0"/>
  </si>
  <si>
    <t>Color</t>
    <phoneticPr fontId="0"/>
  </si>
  <si>
    <t>Inspection Qty</t>
    <phoneticPr fontId="0"/>
  </si>
  <si>
    <t>A-Grade Qty</t>
    <phoneticPr fontId="0"/>
  </si>
  <si>
    <t>Defect Qty</t>
    <phoneticPr fontId="0"/>
  </si>
  <si>
    <t>Measurment</t>
    <phoneticPr fontId="0"/>
  </si>
  <si>
    <t>Material</t>
    <phoneticPr fontId="0"/>
  </si>
  <si>
    <t>Appearance</t>
    <phoneticPr fontId="0"/>
  </si>
  <si>
    <t>Fabric</t>
    <phoneticPr fontId="0"/>
  </si>
  <si>
    <t>Dirt</t>
    <phoneticPr fontId="0"/>
  </si>
  <si>
    <t>Sewing</t>
    <phoneticPr fontId="0"/>
  </si>
  <si>
    <t>Other</t>
    <phoneticPr fontId="0"/>
  </si>
  <si>
    <t>Needle Inspection</t>
  </si>
  <si>
    <t>rate</t>
    <phoneticPr fontId="0"/>
  </si>
  <si>
    <t>BOOKING
 Q'TY</t>
  </si>
  <si>
    <t>Q'TY DIFFERENCE</t>
  </si>
  <si>
    <t>QC Q'TY</t>
  </si>
  <si>
    <t>TIME</t>
  </si>
  <si>
    <t>OT</t>
  </si>
  <si>
    <t>LEADER</t>
  </si>
  <si>
    <t>PRODUCTIVITY SCORE</t>
  </si>
  <si>
    <t>NOTE</t>
  </si>
  <si>
    <t>日付</t>
    <rPh sb="0" eb="2">
      <t>ヒヅケ</t>
    </rPh>
    <phoneticPr fontId="0"/>
  </si>
  <si>
    <t>検品内容</t>
  </si>
  <si>
    <t>品番</t>
  </si>
  <si>
    <t>ブランド</t>
    <phoneticPr fontId="0"/>
  </si>
  <si>
    <t>品目</t>
    <phoneticPr fontId="0"/>
  </si>
  <si>
    <t>カラー</t>
    <phoneticPr fontId="0"/>
  </si>
  <si>
    <t>サイズ</t>
    <phoneticPr fontId="0"/>
  </si>
  <si>
    <t>検品数</t>
    <rPh sb="0" eb="2">
      <t>ケンピン</t>
    </rPh>
    <rPh sb="2" eb="3">
      <t>スウ</t>
    </rPh>
    <phoneticPr fontId="0"/>
  </si>
  <si>
    <t>良品数</t>
    <rPh sb="0" eb="2">
      <t>リョウヒン</t>
    </rPh>
    <rPh sb="2" eb="3">
      <t>スウ</t>
    </rPh>
    <phoneticPr fontId="0"/>
  </si>
  <si>
    <t>不良品数</t>
    <rPh sb="0" eb="1">
      <t>フ</t>
    </rPh>
    <rPh sb="1" eb="3">
      <t>リョウヒン</t>
    </rPh>
    <rPh sb="3" eb="4">
      <t>スウ</t>
    </rPh>
    <phoneticPr fontId="0"/>
  </si>
  <si>
    <t>採寸不良</t>
    <rPh sb="0" eb="2">
      <t>サイスン</t>
    </rPh>
    <phoneticPr fontId="0"/>
  </si>
  <si>
    <t>付属不良</t>
    <phoneticPr fontId="0"/>
  </si>
  <si>
    <t>外観不良</t>
    <phoneticPr fontId="0"/>
  </si>
  <si>
    <t>生地不良</t>
    <phoneticPr fontId="0"/>
  </si>
  <si>
    <t>汚れ不良</t>
    <phoneticPr fontId="0"/>
  </si>
  <si>
    <t>縫製不良</t>
    <rPh sb="0" eb="2">
      <t>フリョウ</t>
    </rPh>
    <phoneticPr fontId="0"/>
  </si>
  <si>
    <t>その他</t>
    <rPh sb="2" eb="3">
      <t>タ</t>
    </rPh>
    <phoneticPr fontId="0"/>
  </si>
  <si>
    <t>検針</t>
  </si>
  <si>
    <t>不良率</t>
    <rPh sb="0" eb="2">
      <t>フリョウ</t>
    </rPh>
    <rPh sb="2" eb="3">
      <t>リツ</t>
    </rPh>
    <phoneticPr fontId="0"/>
  </si>
  <si>
    <t>予約数量</t>
  </si>
  <si>
    <t>数量差</t>
  </si>
  <si>
    <t>人数</t>
  </si>
  <si>
    <t>作業時間</t>
  </si>
  <si>
    <t>残業時間</t>
  </si>
  <si>
    <t>担当者</t>
  </si>
  <si>
    <t>リーダー</t>
  </si>
  <si>
    <t>KIEM</t>
  </si>
  <si>
    <t>BR1144</t>
  </si>
  <si>
    <t>SHIRT</t>
  </si>
  <si>
    <t>WH</t>
  </si>
  <si>
    <t>L</t>
  </si>
  <si>
    <t>LL</t>
  </si>
  <si>
    <t>BR9071</t>
  </si>
  <si>
    <t>M</t>
  </si>
  <si>
    <t>HS8078</t>
  </si>
  <si>
    <t>BR9070</t>
  </si>
  <si>
    <t>S</t>
  </si>
  <si>
    <t>HS8073</t>
  </si>
  <si>
    <t>BR1109</t>
  </si>
  <si>
    <t>TAIKIEM</t>
  </si>
  <si>
    <t>EL</t>
  </si>
  <si>
    <t>4L</t>
  </si>
  <si>
    <t>SS</t>
  </si>
  <si>
    <t>5L</t>
  </si>
  <si>
    <t>6L</t>
  </si>
  <si>
    <t>BL</t>
  </si>
  <si>
    <t>BR1108</t>
  </si>
  <si>
    <t>BR9125</t>
  </si>
  <si>
    <t>Nhà máy</t>
  </si>
  <si>
    <t>Fac1</t>
  </si>
  <si>
    <t>Fac2</t>
  </si>
  <si>
    <t>fac3</t>
  </si>
  <si>
    <t>fac4</t>
  </si>
  <si>
    <t>fac5</t>
  </si>
  <si>
    <t>fac6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</si>
</sst>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%"/>
  </numFmts>
  <fonts count="9">
    <font>
      <sz val="11"/>
      <color theme="1"/>
      <name val="Aptos Narrow"/>
      <family val="2"/>
      <charset val="163"/>
      <scheme val="minor"/>
    </font>
    <font>
      <sz val="12"/>
      <name val="Garamond"/>
      <family val="1"/>
    </font>
    <font>
      <b/>
      <sz val="12"/>
      <name val="Garamond"/>
      <family val="1"/>
    </font>
    <font>
      <sz val="11"/>
      <color indexed="8"/>
      <name val="Calibri"/>
      <family val="2"/>
    </font>
    <font>
      <b/>
      <sz val="12"/>
      <color indexed="8"/>
      <name val="Garamond"/>
      <family val="1"/>
    </font>
    <font>
      <sz val="12"/>
      <color theme="1"/>
      <name val="Garamond"/>
      <family val="1"/>
    </font>
    <font>
      <sz val="11"/>
      <name val="ＭＳ Ｐゴシック"/>
      <family val="3"/>
      <charset val="128"/>
    </font>
    <font>
      <sz val="12"/>
      <color rgb="FFFF0000"/>
      <name val="Garamond"/>
      <family val="1"/>
    </font>
    <font>
      <sz val="12"/>
      <name val="宋体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9" fontId="6" fillId="0" borderId="0" applyFont="0" applyFill="0" applyBorder="0" applyAlignment="0" applyProtection="0"/>
    <xf numFmtId="0" fontId="8" fillId="0" borderId="0"/>
  </cellStyleXfs>
  <cellXfs count="152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165" fontId="1" fillId="0" borderId="14" xfId="0" applyNumberFormat="1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1" fillId="0" borderId="23" xfId="0" applyNumberFormat="1" applyFont="1" applyBorder="1"/>
    <xf numFmtId="164" fontId="1" fillId="0" borderId="24" xfId="0" applyNumberFormat="1" applyFont="1" applyBorder="1"/>
    <xf numFmtId="0" fontId="5" fillId="0" borderId="25" xfId="0" applyFont="1" applyBorder="1"/>
    <xf numFmtId="49" fontId="5" fillId="0" borderId="26" xfId="0" applyNumberFormat="1" applyFont="1" applyBorder="1"/>
    <xf numFmtId="49" fontId="5" fillId="0" borderId="27" xfId="0" applyNumberFormat="1" applyFont="1" applyBorder="1"/>
    <xf numFmtId="49" fontId="1" fillId="0" borderId="28" xfId="0" applyNumberFormat="1" applyFont="1" applyBorder="1"/>
    <xf numFmtId="0" fontId="1" fillId="0" borderId="29" xfId="0" applyFont="1" applyBorder="1"/>
    <xf numFmtId="0" fontId="5" fillId="0" borderId="30" xfId="0" applyFont="1" applyBorder="1"/>
    <xf numFmtId="0" fontId="1" fillId="0" borderId="28" xfId="0" applyFont="1" applyBorder="1"/>
    <xf numFmtId="0" fontId="1" fillId="0" borderId="27" xfId="0" applyFont="1" applyBorder="1"/>
    <xf numFmtId="165" fontId="1" fillId="0" borderId="31" xfId="2" applyNumberFormat="1" applyFont="1" applyFill="1" applyBorder="1" applyAlignment="1">
      <alignment shrinkToFit="1"/>
    </xf>
    <xf numFmtId="165" fontId="1" fillId="0" borderId="23" xfId="2" applyNumberFormat="1" applyFont="1" applyFill="1" applyBorder="1" applyAlignment="1">
      <alignment shrinkToFit="1"/>
    </xf>
    <xf numFmtId="0" fontId="1" fillId="0" borderId="23" xfId="0" applyFont="1" applyBorder="1"/>
    <xf numFmtId="164" fontId="1" fillId="0" borderId="32" xfId="0" applyNumberFormat="1" applyFont="1" applyBorder="1"/>
    <xf numFmtId="164" fontId="1" fillId="0" borderId="33" xfId="0" applyNumberFormat="1" applyFont="1" applyBorder="1"/>
    <xf numFmtId="0" fontId="5" fillId="0" borderId="32" xfId="0" applyFont="1" applyBorder="1"/>
    <xf numFmtId="0" fontId="5" fillId="0" borderId="0" xfId="0" applyFont="1"/>
    <xf numFmtId="0" fontId="5" fillId="0" borderId="34" xfId="0" applyFont="1" applyBorder="1"/>
    <xf numFmtId="49" fontId="5" fillId="0" borderId="35" xfId="0" applyNumberFormat="1" applyFont="1" applyBorder="1"/>
    <xf numFmtId="49" fontId="1" fillId="0" borderId="36" xfId="0" applyNumberFormat="1" applyFont="1" applyBorder="1"/>
    <xf numFmtId="49" fontId="1" fillId="0" borderId="37" xfId="0" applyNumberFormat="1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37" xfId="0" applyFont="1" applyBorder="1"/>
    <xf numFmtId="0" fontId="1" fillId="0" borderId="36" xfId="0" applyFont="1" applyBorder="1"/>
    <xf numFmtId="165" fontId="1" fillId="0" borderId="40" xfId="2" applyNumberFormat="1" applyFont="1" applyFill="1" applyBorder="1" applyAlignment="1">
      <alignment shrinkToFit="1"/>
    </xf>
    <xf numFmtId="165" fontId="1" fillId="0" borderId="32" xfId="2" applyNumberFormat="1" applyFont="1" applyFill="1" applyBorder="1" applyAlignment="1">
      <alignment shrinkToFit="1"/>
    </xf>
    <xf numFmtId="0" fontId="1" fillId="0" borderId="32" xfId="0" applyFont="1" applyBorder="1"/>
    <xf numFmtId="164" fontId="1" fillId="0" borderId="41" xfId="0" applyNumberFormat="1" applyFont="1" applyBorder="1"/>
    <xf numFmtId="0" fontId="5" fillId="0" borderId="42" xfId="0" applyFont="1" applyBorder="1"/>
    <xf numFmtId="0" fontId="5" fillId="0" borderId="43" xfId="0" applyFont="1" applyBorder="1"/>
    <xf numFmtId="0" fontId="5" fillId="0" borderId="39" xfId="0" applyFont="1" applyBorder="1"/>
    <xf numFmtId="0" fontId="5" fillId="0" borderId="40" xfId="0" applyFont="1" applyBorder="1"/>
    <xf numFmtId="49" fontId="5" fillId="0" borderId="36" xfId="0" applyNumberFormat="1" applyFont="1" applyBorder="1"/>
    <xf numFmtId="0" fontId="5" fillId="0" borderId="38" xfId="0" applyFont="1" applyBorder="1"/>
    <xf numFmtId="164" fontId="1" fillId="3" borderId="32" xfId="0" applyNumberFormat="1" applyFont="1" applyFill="1" applyBorder="1"/>
    <xf numFmtId="164" fontId="1" fillId="3" borderId="41" xfId="0" applyNumberFormat="1" applyFont="1" applyFill="1" applyBorder="1"/>
    <xf numFmtId="0" fontId="5" fillId="3" borderId="32" xfId="0" applyFont="1" applyFill="1" applyBorder="1"/>
    <xf numFmtId="0" fontId="5" fillId="3" borderId="40" xfId="0" applyFont="1" applyFill="1" applyBorder="1"/>
    <xf numFmtId="49" fontId="5" fillId="3" borderId="35" xfId="0" applyNumberFormat="1" applyFont="1" applyFill="1" applyBorder="1"/>
    <xf numFmtId="49" fontId="1" fillId="3" borderId="36" xfId="0" applyNumberFormat="1" applyFont="1" applyFill="1" applyBorder="1"/>
    <xf numFmtId="49" fontId="1" fillId="3" borderId="37" xfId="0" applyNumberFormat="1" applyFont="1" applyFill="1" applyBorder="1"/>
    <xf numFmtId="0" fontId="1" fillId="3" borderId="38" xfId="0" applyFont="1" applyFill="1" applyBorder="1"/>
    <xf numFmtId="0" fontId="5" fillId="3" borderId="39" xfId="0" applyFont="1" applyFill="1" applyBorder="1"/>
    <xf numFmtId="0" fontId="1" fillId="3" borderId="37" xfId="0" applyFont="1" applyFill="1" applyBorder="1"/>
    <xf numFmtId="0" fontId="1" fillId="3" borderId="36" xfId="0" applyFont="1" applyFill="1" applyBorder="1"/>
    <xf numFmtId="165" fontId="1" fillId="3" borderId="40" xfId="2" applyNumberFormat="1" applyFont="1" applyFill="1" applyBorder="1" applyAlignment="1">
      <alignment shrinkToFit="1"/>
    </xf>
    <xf numFmtId="165" fontId="1" fillId="3" borderId="32" xfId="2" applyNumberFormat="1" applyFont="1" applyFill="1" applyBorder="1" applyAlignment="1">
      <alignment shrinkToFit="1"/>
    </xf>
    <xf numFmtId="0" fontId="1" fillId="3" borderId="32" xfId="0" applyFont="1" applyFill="1" applyBorder="1"/>
    <xf numFmtId="164" fontId="1" fillId="3" borderId="44" xfId="0" applyNumberFormat="1" applyFont="1" applyFill="1" applyBorder="1"/>
    <xf numFmtId="49" fontId="5" fillId="3" borderId="45" xfId="0" applyNumberFormat="1" applyFont="1" applyFill="1" applyBorder="1"/>
    <xf numFmtId="164" fontId="1" fillId="3" borderId="46" xfId="0" applyNumberFormat="1" applyFont="1" applyFill="1" applyBorder="1"/>
    <xf numFmtId="0" fontId="5" fillId="3" borderId="42" xfId="0" applyFont="1" applyFill="1" applyBorder="1"/>
    <xf numFmtId="49" fontId="5" fillId="3" borderId="36" xfId="0" applyNumberFormat="1" applyFont="1" applyFill="1" applyBorder="1"/>
    <xf numFmtId="164" fontId="7" fillId="4" borderId="32" xfId="0" applyNumberFormat="1" applyFont="1" applyFill="1" applyBorder="1"/>
    <xf numFmtId="164" fontId="7" fillId="4" borderId="41" xfId="0" applyNumberFormat="1" applyFont="1" applyFill="1" applyBorder="1"/>
    <xf numFmtId="0" fontId="7" fillId="4" borderId="32" xfId="0" applyFont="1" applyFill="1" applyBorder="1"/>
    <xf numFmtId="49" fontId="7" fillId="4" borderId="35" xfId="0" applyNumberFormat="1" applyFont="1" applyFill="1" applyBorder="1"/>
    <xf numFmtId="49" fontId="7" fillId="4" borderId="36" xfId="0" applyNumberFormat="1" applyFont="1" applyFill="1" applyBorder="1"/>
    <xf numFmtId="49" fontId="7" fillId="4" borderId="37" xfId="0" applyNumberFormat="1" applyFont="1" applyFill="1" applyBorder="1"/>
    <xf numFmtId="0" fontId="7" fillId="4" borderId="38" xfId="0" applyFont="1" applyFill="1" applyBorder="1"/>
    <xf numFmtId="0" fontId="7" fillId="4" borderId="39" xfId="0" applyFont="1" applyFill="1" applyBorder="1"/>
    <xf numFmtId="0" fontId="7" fillId="4" borderId="37" xfId="0" applyFont="1" applyFill="1" applyBorder="1"/>
    <xf numFmtId="0" fontId="7" fillId="4" borderId="36" xfId="0" applyFont="1" applyFill="1" applyBorder="1"/>
    <xf numFmtId="165" fontId="7" fillId="4" borderId="40" xfId="2" applyNumberFormat="1" applyFont="1" applyFill="1" applyBorder="1" applyAlignment="1">
      <alignment shrinkToFit="1"/>
    </xf>
    <xf numFmtId="165" fontId="7" fillId="4" borderId="32" xfId="2" applyNumberFormat="1" applyFont="1" applyFill="1" applyBorder="1" applyAlignment="1">
      <alignment shrinkToFit="1"/>
    </xf>
    <xf numFmtId="164" fontId="1" fillId="4" borderId="32" xfId="0" applyNumberFormat="1" applyFont="1" applyFill="1" applyBorder="1"/>
    <xf numFmtId="164" fontId="1" fillId="4" borderId="41" xfId="0" applyNumberFormat="1" applyFont="1" applyFill="1" applyBorder="1"/>
    <xf numFmtId="0" fontId="5" fillId="4" borderId="32" xfId="0" applyFont="1" applyFill="1" applyBorder="1"/>
    <xf numFmtId="49" fontId="5" fillId="4" borderId="35" xfId="0" applyNumberFormat="1" applyFont="1" applyFill="1" applyBorder="1"/>
    <xf numFmtId="49" fontId="5" fillId="4" borderId="36" xfId="0" applyNumberFormat="1" applyFont="1" applyFill="1" applyBorder="1"/>
    <xf numFmtId="49" fontId="1" fillId="4" borderId="37" xfId="0" applyNumberFormat="1" applyFont="1" applyFill="1" applyBorder="1"/>
    <xf numFmtId="0" fontId="1" fillId="4" borderId="38" xfId="0" applyFont="1" applyFill="1" applyBorder="1"/>
    <xf numFmtId="0" fontId="5" fillId="4" borderId="39" xfId="0" applyFont="1" applyFill="1" applyBorder="1"/>
    <xf numFmtId="0" fontId="1" fillId="4" borderId="37" xfId="0" applyFont="1" applyFill="1" applyBorder="1"/>
    <xf numFmtId="0" fontId="1" fillId="4" borderId="36" xfId="0" applyFont="1" applyFill="1" applyBorder="1"/>
    <xf numFmtId="165" fontId="1" fillId="4" borderId="40" xfId="2" applyNumberFormat="1" applyFont="1" applyFill="1" applyBorder="1" applyAlignment="1">
      <alignment shrinkToFit="1"/>
    </xf>
    <xf numFmtId="165" fontId="1" fillId="4" borderId="32" xfId="2" applyNumberFormat="1" applyFont="1" applyFill="1" applyBorder="1" applyAlignment="1">
      <alignment shrinkToFit="1"/>
    </xf>
    <xf numFmtId="0" fontId="1" fillId="4" borderId="32" xfId="0" applyFont="1" applyFill="1" applyBorder="1"/>
    <xf numFmtId="49" fontId="1" fillId="4" borderId="36" xfId="0" applyNumberFormat="1" applyFont="1" applyFill="1" applyBorder="1"/>
    <xf numFmtId="49" fontId="5" fillId="0" borderId="45" xfId="0" applyNumberFormat="1" applyFont="1" applyBorder="1"/>
    <xf numFmtId="0" fontId="1" fillId="0" borderId="0" xfId="3" applyFont="1" applyAlignment="1">
      <alignment horizontal="left"/>
    </xf>
    <xf numFmtId="49" fontId="5" fillId="0" borderId="47" xfId="0" applyNumberFormat="1" applyFont="1" applyBorder="1"/>
    <xf numFmtId="49" fontId="5" fillId="0" borderId="32" xfId="0" applyNumberFormat="1" applyFont="1" applyBorder="1"/>
    <xf numFmtId="49" fontId="1" fillId="0" borderId="41" xfId="0" applyNumberFormat="1" applyFont="1" applyBorder="1"/>
    <xf numFmtId="49" fontId="5" fillId="0" borderId="44" xfId="0" applyNumberFormat="1" applyFont="1" applyBorder="1"/>
    <xf numFmtId="49" fontId="5" fillId="0" borderId="41" xfId="0" applyNumberFormat="1" applyFont="1" applyBorder="1"/>
    <xf numFmtId="49" fontId="1" fillId="0" borderId="35" xfId="0" applyNumberFormat="1" applyFont="1" applyBorder="1"/>
    <xf numFmtId="164" fontId="1" fillId="0" borderId="48" xfId="0" applyNumberFormat="1" applyFont="1" applyBorder="1"/>
    <xf numFmtId="0" fontId="1" fillId="0" borderId="48" xfId="0" applyFont="1" applyBorder="1"/>
    <xf numFmtId="0" fontId="1" fillId="0" borderId="49" xfId="0" applyFont="1" applyBorder="1"/>
    <xf numFmtId="49" fontId="1" fillId="0" borderId="50" xfId="0" applyNumberFormat="1" applyFont="1" applyBorder="1"/>
    <xf numFmtId="49" fontId="1" fillId="0" borderId="51" xfId="0" applyNumberFormat="1" applyFont="1" applyBorder="1"/>
    <xf numFmtId="49" fontId="1" fillId="0" borderId="52" xfId="0" applyNumberFormat="1" applyFont="1" applyBorder="1"/>
    <xf numFmtId="0" fontId="1" fillId="0" borderId="53" xfId="0" applyFont="1" applyBorder="1"/>
    <xf numFmtId="0" fontId="5" fillId="0" borderId="54" xfId="0" applyFont="1" applyBorder="1"/>
    <xf numFmtId="0" fontId="1" fillId="0" borderId="52" xfId="0" applyFont="1" applyBorder="1"/>
    <xf numFmtId="0" fontId="1" fillId="0" borderId="51" xfId="0" applyFont="1" applyBorder="1"/>
    <xf numFmtId="165" fontId="1" fillId="0" borderId="49" xfId="2" applyNumberFormat="1" applyFont="1" applyFill="1" applyBorder="1" applyAlignment="1">
      <alignment shrinkToFit="1"/>
    </xf>
    <xf numFmtId="165" fontId="1" fillId="0" borderId="48" xfId="2" applyNumberFormat="1" applyFont="1" applyFill="1" applyBorder="1" applyAlignment="1">
      <alignment shrinkToFi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 wrapText="1"/>
    </xf>
  </cellXfs>
  <cellStyles count="4">
    <cellStyle name="Normal" xfId="0" builtinId="0"/>
    <cellStyle name="Normal 12" xfId="1" xr:uid="{AC8EAD79-2AF7-4AC7-B427-0DF668DEDB9A}"/>
    <cellStyle name="Normal 4" xfId="3" xr:uid="{A797EF86-5D0A-4727-B5A4-88B74DB7281E}"/>
    <cellStyle name="Percent 3" xfId="2" xr:uid="{5F3128DE-7849-49C1-95B2-39D55BE24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ang\Downloads\test%20taiyo.xlsx" TargetMode="External"/><Relationship Id="rId1" Type="http://schemas.openxmlformats.org/officeDocument/2006/relationships/externalLinkPath" Target="test%20tai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ữ Liệu"/>
      <sheetName val="Daily Report"/>
      <sheetName val="Cumulative Table"/>
      <sheetName val="Sheet3"/>
      <sheetName val="DEBIT T&amp;K"/>
      <sheetName val="MỤC TIÊU"/>
    </sheetNames>
    <sheetDataSet>
      <sheetData sheetId="0">
        <row r="7">
          <cell r="C7" t="str">
            <v>BR1144</v>
          </cell>
          <cell r="D7" t="str">
            <v>GUA</v>
          </cell>
        </row>
        <row r="8">
          <cell r="C8" t="str">
            <v>BR1109</v>
          </cell>
          <cell r="D8" t="str">
            <v>GUA</v>
          </cell>
        </row>
        <row r="9">
          <cell r="C9" t="str">
            <v>BR9071</v>
          </cell>
          <cell r="D9" t="str">
            <v>GUA</v>
          </cell>
        </row>
        <row r="10">
          <cell r="C10" t="str">
            <v>HS8078</v>
          </cell>
          <cell r="D10" t="str">
            <v>GUA</v>
          </cell>
        </row>
        <row r="11">
          <cell r="C11" t="str">
            <v>BR1108</v>
          </cell>
          <cell r="D11" t="str">
            <v>GUA</v>
          </cell>
        </row>
        <row r="12">
          <cell r="C12" t="str">
            <v>BR9125</v>
          </cell>
          <cell r="D12" t="str">
            <v>GUA</v>
          </cell>
        </row>
        <row r="13">
          <cell r="C13" t="str">
            <v>BR9070</v>
          </cell>
          <cell r="D13" t="str">
            <v>GUA</v>
          </cell>
        </row>
        <row r="14">
          <cell r="C14" t="str">
            <v>HS8073</v>
          </cell>
          <cell r="D14" t="str">
            <v>GUA</v>
          </cell>
        </row>
        <row r="15">
          <cell r="C15" t="str">
            <v>HS8072</v>
          </cell>
          <cell r="D15" t="str">
            <v>SSK</v>
          </cell>
        </row>
        <row r="16">
          <cell r="C16"/>
          <cell r="D16"/>
        </row>
        <row r="17">
          <cell r="C17"/>
          <cell r="D17"/>
        </row>
        <row r="18">
          <cell r="C18"/>
          <cell r="D18"/>
        </row>
        <row r="19">
          <cell r="C19"/>
          <cell r="D19"/>
        </row>
        <row r="20">
          <cell r="C20"/>
          <cell r="D20"/>
        </row>
        <row r="21">
          <cell r="C21"/>
          <cell r="D21"/>
        </row>
        <row r="22">
          <cell r="C22"/>
          <cell r="D22"/>
        </row>
        <row r="23">
          <cell r="C23"/>
          <cell r="D23"/>
        </row>
        <row r="24">
          <cell r="C24"/>
          <cell r="D24"/>
        </row>
        <row r="25">
          <cell r="C25"/>
          <cell r="D25"/>
        </row>
        <row r="26">
          <cell r="C26"/>
          <cell r="D26"/>
        </row>
        <row r="27">
          <cell r="C27"/>
          <cell r="D27"/>
        </row>
        <row r="28">
          <cell r="C28"/>
          <cell r="D28"/>
        </row>
        <row r="29">
          <cell r="C29"/>
          <cell r="D29"/>
        </row>
        <row r="30">
          <cell r="C30"/>
          <cell r="D30"/>
        </row>
        <row r="31">
          <cell r="C31"/>
          <cell r="D31"/>
        </row>
        <row r="32">
          <cell r="C32"/>
          <cell r="D32"/>
        </row>
        <row r="33">
          <cell r="C33"/>
          <cell r="D33"/>
        </row>
        <row r="34">
          <cell r="C34"/>
          <cell r="D34"/>
        </row>
        <row r="35">
          <cell r="C35"/>
          <cell r="D35"/>
        </row>
        <row r="36">
          <cell r="C36"/>
          <cell r="D36"/>
        </row>
        <row r="37">
          <cell r="C37"/>
          <cell r="D37"/>
        </row>
        <row r="38">
          <cell r="C38"/>
          <cell r="D38"/>
        </row>
        <row r="39">
          <cell r="C39"/>
          <cell r="D39"/>
        </row>
        <row r="40">
          <cell r="C40"/>
          <cell r="D40"/>
        </row>
        <row r="41">
          <cell r="C41"/>
          <cell r="D41"/>
        </row>
        <row r="42">
          <cell r="C42"/>
          <cell r="D42"/>
        </row>
        <row r="43">
          <cell r="C43"/>
          <cell r="D43"/>
        </row>
        <row r="44">
          <cell r="C44"/>
          <cell r="D44"/>
        </row>
        <row r="45">
          <cell r="C45"/>
          <cell r="D45"/>
        </row>
        <row r="46">
          <cell r="C46"/>
          <cell r="D46"/>
        </row>
        <row r="47">
          <cell r="C47"/>
          <cell r="D47"/>
        </row>
        <row r="48">
          <cell r="C48"/>
          <cell r="D48"/>
        </row>
        <row r="49">
          <cell r="C49"/>
          <cell r="D49"/>
        </row>
        <row r="50">
          <cell r="C50"/>
          <cell r="D50"/>
        </row>
        <row r="51">
          <cell r="C51"/>
          <cell r="D51"/>
        </row>
        <row r="52">
          <cell r="C52"/>
          <cell r="D52"/>
        </row>
        <row r="53">
          <cell r="C53"/>
          <cell r="D53"/>
        </row>
        <row r="54">
          <cell r="C54"/>
          <cell r="D54"/>
        </row>
        <row r="55">
          <cell r="C55"/>
          <cell r="D55"/>
        </row>
        <row r="56">
          <cell r="C56"/>
          <cell r="D56"/>
        </row>
        <row r="57">
          <cell r="C57"/>
          <cell r="D57"/>
        </row>
        <row r="58">
          <cell r="C58"/>
          <cell r="D58"/>
        </row>
        <row r="59">
          <cell r="C59"/>
          <cell r="D59"/>
        </row>
        <row r="60">
          <cell r="C60"/>
          <cell r="D60"/>
        </row>
        <row r="61">
          <cell r="C61"/>
          <cell r="D61"/>
        </row>
        <row r="62">
          <cell r="C62"/>
          <cell r="D62"/>
        </row>
        <row r="63">
          <cell r="C63"/>
          <cell r="D63"/>
        </row>
        <row r="64">
          <cell r="C64"/>
          <cell r="D64"/>
        </row>
        <row r="65">
          <cell r="C65"/>
          <cell r="D65"/>
        </row>
        <row r="66">
          <cell r="C66"/>
          <cell r="D66"/>
        </row>
        <row r="67">
          <cell r="C67"/>
          <cell r="D67"/>
        </row>
        <row r="68">
          <cell r="C68"/>
          <cell r="D68"/>
        </row>
        <row r="69">
          <cell r="C69"/>
          <cell r="D69"/>
        </row>
        <row r="70">
          <cell r="C70"/>
          <cell r="D70"/>
        </row>
        <row r="71">
          <cell r="C71"/>
          <cell r="D71"/>
        </row>
        <row r="72">
          <cell r="C72"/>
          <cell r="D72"/>
        </row>
        <row r="73">
          <cell r="C73"/>
          <cell r="D73"/>
        </row>
        <row r="74">
          <cell r="C74"/>
          <cell r="D74"/>
        </row>
        <row r="75">
          <cell r="C75"/>
          <cell r="D75"/>
        </row>
        <row r="76">
          <cell r="C76"/>
          <cell r="D76"/>
        </row>
        <row r="77">
          <cell r="C77"/>
          <cell r="D77"/>
        </row>
        <row r="78">
          <cell r="C78"/>
          <cell r="D78"/>
        </row>
        <row r="79">
          <cell r="C79"/>
          <cell r="D79"/>
        </row>
        <row r="80">
          <cell r="C80"/>
          <cell r="D80"/>
        </row>
        <row r="81">
          <cell r="C81"/>
          <cell r="D81"/>
        </row>
        <row r="82">
          <cell r="C82"/>
          <cell r="D82"/>
        </row>
        <row r="83">
          <cell r="C83"/>
          <cell r="D83"/>
        </row>
        <row r="84">
          <cell r="C84"/>
          <cell r="D84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A72A-78DE-4D58-99B2-1EC2AD98CEA6}">
  <dimension ref="A1:AD147"/>
  <sheetViews>
    <sheetView tabSelected="1" workbookViewId="0">
      <selection activeCell="AD100" sqref="AD100"/>
    </sheetView>
  </sheetViews>
  <sheetFormatPr defaultRowHeight="14.5"/>
  <sheetData>
    <row r="1" spans="1:30" ht="16" thickBot="1">
      <c r="A1" s="145" t="s">
        <v>0</v>
      </c>
      <c r="B1" s="146"/>
      <c r="C1" s="146"/>
      <c r="D1" s="146"/>
      <c r="E1" s="146"/>
      <c r="F1" s="146"/>
      <c r="G1" s="147"/>
      <c r="H1" s="148" t="s">
        <v>1</v>
      </c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8" t="s">
        <v>2</v>
      </c>
      <c r="U1" s="149"/>
      <c r="V1" s="149"/>
      <c r="W1" s="149"/>
      <c r="X1" s="149"/>
      <c r="Y1" s="149"/>
      <c r="Z1" s="149"/>
      <c r="AA1" s="149"/>
      <c r="AB1" s="149"/>
      <c r="AC1" s="150"/>
    </row>
    <row r="2" spans="1:30" ht="78" thickBot="1">
      <c r="A2" s="1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4" t="s">
        <v>8</v>
      </c>
      <c r="G2" s="5" t="s">
        <v>9</v>
      </c>
      <c r="H2" s="6" t="s">
        <v>10</v>
      </c>
      <c r="I2" s="7" t="s">
        <v>11</v>
      </c>
      <c r="J2" s="5" t="s">
        <v>12</v>
      </c>
      <c r="K2" s="8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5" t="s">
        <v>19</v>
      </c>
      <c r="R2" s="9" t="s">
        <v>20</v>
      </c>
      <c r="S2" s="10" t="s">
        <v>21</v>
      </c>
      <c r="T2" s="11" t="s">
        <v>22</v>
      </c>
      <c r="U2" s="12" t="s">
        <v>23</v>
      </c>
      <c r="V2" s="13" t="s">
        <v>24</v>
      </c>
      <c r="W2" s="13" t="s">
        <v>25</v>
      </c>
      <c r="X2" s="12" t="s">
        <v>26</v>
      </c>
      <c r="Y2" s="13" t="s">
        <v>27</v>
      </c>
      <c r="Z2" s="12" t="s">
        <v>28</v>
      </c>
      <c r="AA2" s="12" t="s">
        <v>29</v>
      </c>
      <c r="AB2" s="12" t="s">
        <v>30</v>
      </c>
      <c r="AC2" s="14" t="s">
        <v>31</v>
      </c>
      <c r="AD2" s="151" t="s">
        <v>106</v>
      </c>
    </row>
    <row r="3" spans="1:30" ht="62.5" thickBot="1">
      <c r="A3" s="15" t="s">
        <v>32</v>
      </c>
      <c r="B3" s="16" t="s">
        <v>33</v>
      </c>
      <c r="C3" s="16" t="s">
        <v>34</v>
      </c>
      <c r="D3" s="16" t="s">
        <v>35</v>
      </c>
      <c r="E3" s="17" t="s">
        <v>36</v>
      </c>
      <c r="F3" s="18" t="s">
        <v>37</v>
      </c>
      <c r="G3" s="19" t="s">
        <v>9</v>
      </c>
      <c r="H3" s="20" t="s">
        <v>38</v>
      </c>
      <c r="I3" s="21" t="s">
        <v>39</v>
      </c>
      <c r="J3" s="19" t="s">
        <v>40</v>
      </c>
      <c r="K3" s="22" t="s">
        <v>41</v>
      </c>
      <c r="L3" s="21" t="s">
        <v>42</v>
      </c>
      <c r="M3" s="21" t="s">
        <v>43</v>
      </c>
      <c r="N3" s="21" t="s">
        <v>44</v>
      </c>
      <c r="O3" s="21" t="s">
        <v>45</v>
      </c>
      <c r="P3" s="21" t="s">
        <v>46</v>
      </c>
      <c r="Q3" s="19" t="s">
        <v>47</v>
      </c>
      <c r="R3" s="23" t="s">
        <v>48</v>
      </c>
      <c r="S3" s="24" t="s">
        <v>49</v>
      </c>
      <c r="T3" s="25" t="s">
        <v>50</v>
      </c>
      <c r="U3" s="26" t="s">
        <v>51</v>
      </c>
      <c r="V3" s="27" t="s">
        <v>52</v>
      </c>
      <c r="W3" s="27"/>
      <c r="X3" s="26" t="s">
        <v>53</v>
      </c>
      <c r="Y3" s="27" t="s">
        <v>54</v>
      </c>
      <c r="Z3" s="26" t="s">
        <v>28</v>
      </c>
      <c r="AA3" s="26" t="s">
        <v>55</v>
      </c>
      <c r="AB3" s="26" t="s">
        <v>56</v>
      </c>
      <c r="AC3" s="28" t="s">
        <v>57</v>
      </c>
    </row>
    <row r="4" spans="1:30" ht="16" thickBot="1">
      <c r="A4" s="29" t="s">
        <v>58</v>
      </c>
      <c r="B4" s="30" t="s">
        <v>59</v>
      </c>
      <c r="C4" s="30" t="s">
        <v>60</v>
      </c>
      <c r="D4" s="30" t="s">
        <v>61</v>
      </c>
      <c r="E4" s="31" t="s">
        <v>62</v>
      </c>
      <c r="F4" s="32" t="s">
        <v>63</v>
      </c>
      <c r="G4" s="33" t="s">
        <v>64</v>
      </c>
      <c r="H4" s="34" t="s">
        <v>65</v>
      </c>
      <c r="I4" s="35" t="s">
        <v>66</v>
      </c>
      <c r="J4" s="36" t="s">
        <v>67</v>
      </c>
      <c r="K4" s="37" t="s">
        <v>68</v>
      </c>
      <c r="L4" s="35" t="s">
        <v>69</v>
      </c>
      <c r="M4" s="35" t="s">
        <v>70</v>
      </c>
      <c r="N4" s="35" t="s">
        <v>71</v>
      </c>
      <c r="O4" s="35" t="s">
        <v>72</v>
      </c>
      <c r="P4" s="35" t="s">
        <v>73</v>
      </c>
      <c r="Q4" s="38" t="s">
        <v>74</v>
      </c>
      <c r="R4" s="39" t="s">
        <v>75</v>
      </c>
      <c r="S4" s="40" t="s">
        <v>76</v>
      </c>
      <c r="T4" s="41" t="s">
        <v>77</v>
      </c>
      <c r="U4" s="42" t="s">
        <v>78</v>
      </c>
      <c r="V4" s="43" t="s">
        <v>79</v>
      </c>
      <c r="W4" s="43"/>
      <c r="X4" s="42" t="s">
        <v>80</v>
      </c>
      <c r="Y4" s="43" t="s">
        <v>81</v>
      </c>
      <c r="Z4" s="42" t="s">
        <v>82</v>
      </c>
      <c r="AA4" s="42" t="s">
        <v>83</v>
      </c>
      <c r="AB4" s="44"/>
      <c r="AC4" s="44"/>
      <c r="AD4" t="s">
        <v>107</v>
      </c>
    </row>
    <row r="5" spans="1:30" ht="16" thickBot="1">
      <c r="A5" s="45">
        <v>46086</v>
      </c>
      <c r="B5" s="46" t="s">
        <v>84</v>
      </c>
      <c r="C5" s="47" t="s">
        <v>85</v>
      </c>
      <c r="D5" s="47" t="str">
        <f>IF(C5=" "," ",VLOOKUP(C5,'[1]Dữ Liệu'!$C$7:$D$134,2,FALSE))</f>
        <v>GUA</v>
      </c>
      <c r="E5" s="47" t="s">
        <v>86</v>
      </c>
      <c r="F5" s="48" t="s">
        <v>87</v>
      </c>
      <c r="G5" s="49" t="s">
        <v>88</v>
      </c>
      <c r="H5" s="50">
        <v>51</v>
      </c>
      <c r="I5" s="51">
        <f t="shared" ref="I5:I68" si="0">H5-J5</f>
        <v>47</v>
      </c>
      <c r="J5" s="52">
        <f t="shared" ref="J5:J68" si="1">SUM(K5:Q5)</f>
        <v>4</v>
      </c>
      <c r="K5" s="53"/>
      <c r="L5" s="51"/>
      <c r="M5" s="51"/>
      <c r="N5" s="51"/>
      <c r="O5" s="51">
        <v>3</v>
      </c>
      <c r="P5" s="51">
        <v>1</v>
      </c>
      <c r="Q5" s="54"/>
      <c r="R5" s="51"/>
      <c r="S5" s="55">
        <f t="shared" ref="S5:S68" si="2">J5/H5</f>
        <v>7.8431372549019607E-2</v>
      </c>
      <c r="T5" s="56"/>
      <c r="U5" s="57"/>
      <c r="V5" s="57">
        <v>4</v>
      </c>
      <c r="W5" s="57">
        <v>1.5</v>
      </c>
      <c r="X5" s="57"/>
      <c r="Y5" s="57">
        <v>1</v>
      </c>
      <c r="Z5" s="57"/>
      <c r="AA5" s="57"/>
      <c r="AB5" s="57"/>
      <c r="AC5" s="57"/>
    </row>
    <row r="6" spans="1:30" ht="16" thickBot="1">
      <c r="A6" s="58">
        <v>46086</v>
      </c>
      <c r="B6" s="59" t="s">
        <v>84</v>
      </c>
      <c r="C6" s="60" t="s">
        <v>85</v>
      </c>
      <c r="D6" s="61" t="str">
        <f>IF(C6=" "," ",VLOOKUP(C6,'[1]Dữ Liệu'!$C$7:$D$134,2,FALSE))</f>
        <v>GUA</v>
      </c>
      <c r="E6" s="62" t="s">
        <v>86</v>
      </c>
      <c r="F6" s="63" t="s">
        <v>87</v>
      </c>
      <c r="G6" s="64" t="s">
        <v>89</v>
      </c>
      <c r="H6" s="65">
        <v>67</v>
      </c>
      <c r="I6" s="66">
        <f t="shared" si="0"/>
        <v>60</v>
      </c>
      <c r="J6" s="67">
        <f t="shared" si="1"/>
        <v>7</v>
      </c>
      <c r="K6" s="68"/>
      <c r="L6" s="66"/>
      <c r="M6" s="66"/>
      <c r="N6" s="66"/>
      <c r="O6" s="66">
        <v>5</v>
      </c>
      <c r="P6" s="66">
        <v>2</v>
      </c>
      <c r="Q6" s="69"/>
      <c r="R6" s="66"/>
      <c r="S6" s="70">
        <f t="shared" si="2"/>
        <v>0.1044776119402985</v>
      </c>
      <c r="T6" s="71"/>
      <c r="U6" s="72"/>
      <c r="V6" s="57"/>
      <c r="W6" s="57"/>
      <c r="X6" s="72"/>
      <c r="Y6" s="57"/>
      <c r="Z6" s="72"/>
      <c r="AA6" s="72"/>
      <c r="AB6" s="72"/>
      <c r="AC6" s="72"/>
    </row>
    <row r="7" spans="1:30" ht="16" thickBot="1">
      <c r="A7" s="58">
        <v>46086</v>
      </c>
      <c r="B7" s="73" t="s">
        <v>84</v>
      </c>
      <c r="C7" s="74" t="s">
        <v>90</v>
      </c>
      <c r="D7" s="75" t="str">
        <f>IF(C7=" "," ",VLOOKUP(C7,'[1]Dữ Liệu'!$C$7:$D$134,2,FALSE))</f>
        <v>GUA</v>
      </c>
      <c r="E7" s="60" t="s">
        <v>86</v>
      </c>
      <c r="F7" s="63" t="s">
        <v>87</v>
      </c>
      <c r="G7" s="64" t="s">
        <v>91</v>
      </c>
      <c r="H7" s="65">
        <v>114</v>
      </c>
      <c r="I7" s="66">
        <f t="shared" si="0"/>
        <v>102</v>
      </c>
      <c r="J7" s="76">
        <f t="shared" si="1"/>
        <v>12</v>
      </c>
      <c r="K7" s="68"/>
      <c r="L7" s="66"/>
      <c r="M7" s="66"/>
      <c r="N7" s="66"/>
      <c r="O7" s="66">
        <v>9</v>
      </c>
      <c r="P7" s="66">
        <v>3</v>
      </c>
      <c r="Q7" s="69"/>
      <c r="R7" s="66"/>
      <c r="S7" s="70">
        <f t="shared" si="2"/>
        <v>0.10526315789473684</v>
      </c>
      <c r="T7" s="71"/>
      <c r="U7" s="72"/>
      <c r="V7" s="57"/>
      <c r="W7" s="57"/>
      <c r="X7" s="72"/>
      <c r="Y7" s="57"/>
      <c r="Z7" s="72"/>
      <c r="AA7" s="72"/>
      <c r="AB7" s="72"/>
      <c r="AC7" s="72"/>
    </row>
    <row r="8" spans="1:30" ht="16" thickBot="1">
      <c r="A8" s="58">
        <v>46086</v>
      </c>
      <c r="B8" s="73" t="s">
        <v>84</v>
      </c>
      <c r="C8" s="60" t="s">
        <v>92</v>
      </c>
      <c r="D8" s="77" t="str">
        <f>IF(C8=" "," ",VLOOKUP(C8,'[1]Dữ Liệu'!$C$7:$D$134,2,FALSE))</f>
        <v>GUA</v>
      </c>
      <c r="E8" s="60" t="s">
        <v>86</v>
      </c>
      <c r="F8" s="63" t="s">
        <v>87</v>
      </c>
      <c r="G8" s="78" t="s">
        <v>91</v>
      </c>
      <c r="H8" s="65">
        <v>91</v>
      </c>
      <c r="I8" s="66">
        <f t="shared" si="0"/>
        <v>85</v>
      </c>
      <c r="J8" s="76">
        <f t="shared" si="1"/>
        <v>6</v>
      </c>
      <c r="K8" s="68"/>
      <c r="L8" s="66"/>
      <c r="M8" s="66"/>
      <c r="N8" s="66"/>
      <c r="O8" s="79">
        <v>4</v>
      </c>
      <c r="P8" s="66">
        <v>2</v>
      </c>
      <c r="Q8" s="69"/>
      <c r="R8" s="66"/>
      <c r="S8" s="70">
        <f t="shared" si="2"/>
        <v>6.5934065934065936E-2</v>
      </c>
      <c r="T8" s="71"/>
      <c r="U8" s="72"/>
      <c r="V8" s="57"/>
      <c r="W8" s="57"/>
      <c r="X8" s="72"/>
      <c r="Y8" s="57"/>
      <c r="Z8" s="72"/>
      <c r="AA8" s="72"/>
      <c r="AB8" s="72"/>
      <c r="AC8" s="72"/>
    </row>
    <row r="9" spans="1:30" ht="16" thickBot="1">
      <c r="A9" s="58">
        <v>46086</v>
      </c>
      <c r="B9" s="73" t="s">
        <v>84</v>
      </c>
      <c r="C9" s="60" t="s">
        <v>92</v>
      </c>
      <c r="D9" s="77" t="str">
        <f>IF(C9=" "," ",VLOOKUP(C9,'[1]Dữ Liệu'!$C$7:$D$134,2,FALSE))</f>
        <v>GUA</v>
      </c>
      <c r="E9" s="60" t="s">
        <v>86</v>
      </c>
      <c r="F9" s="63" t="s">
        <v>87</v>
      </c>
      <c r="G9" s="64" t="s">
        <v>88</v>
      </c>
      <c r="H9" s="65">
        <v>111</v>
      </c>
      <c r="I9" s="66">
        <f t="shared" si="0"/>
        <v>101</v>
      </c>
      <c r="J9" s="76">
        <f t="shared" si="1"/>
        <v>10</v>
      </c>
      <c r="K9" s="68"/>
      <c r="L9" s="66"/>
      <c r="M9" s="66"/>
      <c r="N9" s="66"/>
      <c r="O9" s="66">
        <v>6</v>
      </c>
      <c r="P9" s="66">
        <v>4</v>
      </c>
      <c r="Q9" s="69"/>
      <c r="R9" s="66"/>
      <c r="S9" s="70">
        <f t="shared" si="2"/>
        <v>9.0090090090090086E-2</v>
      </c>
      <c r="T9" s="71"/>
      <c r="U9" s="72"/>
      <c r="V9" s="57"/>
      <c r="W9" s="57"/>
      <c r="X9" s="72"/>
      <c r="Y9" s="57"/>
      <c r="Z9" s="72"/>
      <c r="AA9" s="72"/>
      <c r="AB9" s="72"/>
      <c r="AC9" s="72"/>
    </row>
    <row r="10" spans="1:30" ht="16" thickBot="1">
      <c r="A10" s="58">
        <v>46086</v>
      </c>
      <c r="B10" s="73" t="s">
        <v>84</v>
      </c>
      <c r="C10" s="60" t="s">
        <v>92</v>
      </c>
      <c r="D10" s="77" t="str">
        <f>IF(C10=" "," ",VLOOKUP(C10,'[1]Dữ Liệu'!$C$7:$D$134,2,FALSE))</f>
        <v>GUA</v>
      </c>
      <c r="E10" s="60" t="s">
        <v>86</v>
      </c>
      <c r="F10" s="63" t="s">
        <v>87</v>
      </c>
      <c r="G10" s="64" t="s">
        <v>89</v>
      </c>
      <c r="H10" s="65">
        <v>66</v>
      </c>
      <c r="I10" s="66">
        <f t="shared" si="0"/>
        <v>63</v>
      </c>
      <c r="J10" s="76">
        <f t="shared" si="1"/>
        <v>3</v>
      </c>
      <c r="K10" s="68"/>
      <c r="L10" s="66"/>
      <c r="M10" s="66"/>
      <c r="N10" s="66"/>
      <c r="O10" s="79">
        <v>2</v>
      </c>
      <c r="P10" s="66">
        <v>1</v>
      </c>
      <c r="Q10" s="69"/>
      <c r="R10" s="66"/>
      <c r="S10" s="70">
        <f t="shared" si="2"/>
        <v>4.5454545454545456E-2</v>
      </c>
      <c r="T10" s="71"/>
      <c r="U10" s="72"/>
      <c r="V10" s="57"/>
      <c r="W10" s="57"/>
      <c r="X10" s="72"/>
      <c r="Y10" s="57"/>
      <c r="Z10" s="72"/>
      <c r="AA10" s="72"/>
      <c r="AB10" s="72"/>
      <c r="AC10" s="72"/>
    </row>
    <row r="11" spans="1:30" ht="15.5">
      <c r="A11" s="58">
        <v>46086</v>
      </c>
      <c r="B11" s="73" t="s">
        <v>84</v>
      </c>
      <c r="C11" s="60" t="s">
        <v>93</v>
      </c>
      <c r="D11" s="77" t="str">
        <f>IF(C11=" "," ",VLOOKUP(C11,'[1]Dữ Liệu'!$C$7:$D$134,2,FALSE))</f>
        <v>GUA</v>
      </c>
      <c r="E11" s="60" t="s">
        <v>86</v>
      </c>
      <c r="F11" s="63" t="s">
        <v>87</v>
      </c>
      <c r="G11" s="64" t="s">
        <v>94</v>
      </c>
      <c r="H11" s="65">
        <v>2</v>
      </c>
      <c r="I11" s="66">
        <f t="shared" si="0"/>
        <v>2</v>
      </c>
      <c r="J11" s="76">
        <f t="shared" si="1"/>
        <v>0</v>
      </c>
      <c r="K11" s="68"/>
      <c r="L11" s="66"/>
      <c r="M11" s="66"/>
      <c r="N11" s="66"/>
      <c r="O11" s="66"/>
      <c r="P11" s="66"/>
      <c r="Q11" s="69"/>
      <c r="R11" s="66"/>
      <c r="S11" s="70">
        <f t="shared" si="2"/>
        <v>0</v>
      </c>
      <c r="T11" s="71"/>
      <c r="U11" s="72"/>
      <c r="V11" s="57"/>
      <c r="W11" s="57"/>
      <c r="X11" s="72"/>
      <c r="Y11" s="57"/>
      <c r="Z11" s="72"/>
      <c r="AA11" s="72"/>
      <c r="AB11" s="72"/>
      <c r="AC11" s="72"/>
    </row>
    <row r="12" spans="1:30" ht="15.5">
      <c r="A12" s="80">
        <v>46086</v>
      </c>
      <c r="B12" s="81" t="s">
        <v>84</v>
      </c>
      <c r="C12" s="82" t="s">
        <v>93</v>
      </c>
      <c r="D12" s="83" t="str">
        <f>IF(C12=" "," ",VLOOKUP(C12,'[1]Dữ Liệu'!$C$7:$D$134,2,FALSE))</f>
        <v>GUA</v>
      </c>
      <c r="E12" s="82" t="s">
        <v>86</v>
      </c>
      <c r="F12" s="84" t="s">
        <v>87</v>
      </c>
      <c r="G12" s="85" t="s">
        <v>91</v>
      </c>
      <c r="H12" s="86">
        <v>2</v>
      </c>
      <c r="I12" s="87">
        <f t="shared" si="0"/>
        <v>2</v>
      </c>
      <c r="J12" s="88">
        <f t="shared" si="1"/>
        <v>0</v>
      </c>
      <c r="K12" s="89"/>
      <c r="L12" s="87"/>
      <c r="M12" s="87"/>
      <c r="N12" s="87"/>
      <c r="O12" s="87"/>
      <c r="P12" s="87"/>
      <c r="Q12" s="90"/>
      <c r="R12" s="87"/>
      <c r="S12" s="91">
        <f t="shared" si="2"/>
        <v>0</v>
      </c>
      <c r="T12" s="92"/>
      <c r="U12" s="93"/>
      <c r="V12" s="93"/>
      <c r="W12" s="93"/>
      <c r="X12" s="93"/>
      <c r="Y12" s="93"/>
      <c r="Z12" s="93"/>
      <c r="AA12" s="93"/>
      <c r="AB12" s="93"/>
      <c r="AC12" s="93"/>
    </row>
    <row r="13" spans="1:30" ht="15.5">
      <c r="A13" s="80">
        <v>46086</v>
      </c>
      <c r="B13" s="81" t="s">
        <v>84</v>
      </c>
      <c r="C13" s="82" t="s">
        <v>93</v>
      </c>
      <c r="D13" s="83" t="str">
        <f>IF(C13=" "," ",VLOOKUP(C13,'[1]Dữ Liệu'!$C$7:$D$134,2,FALSE))</f>
        <v>GUA</v>
      </c>
      <c r="E13" s="82" t="s">
        <v>86</v>
      </c>
      <c r="F13" s="84" t="s">
        <v>87</v>
      </c>
      <c r="G13" s="85" t="s">
        <v>89</v>
      </c>
      <c r="H13" s="86">
        <v>1</v>
      </c>
      <c r="I13" s="87">
        <f t="shared" si="0"/>
        <v>1</v>
      </c>
      <c r="J13" s="88">
        <f t="shared" si="1"/>
        <v>0</v>
      </c>
      <c r="K13" s="89"/>
      <c r="L13" s="87"/>
      <c r="M13" s="87"/>
      <c r="N13" s="87"/>
      <c r="O13" s="87"/>
      <c r="P13" s="87"/>
      <c r="Q13" s="90"/>
      <c r="R13" s="87"/>
      <c r="S13" s="91">
        <f t="shared" si="2"/>
        <v>0</v>
      </c>
      <c r="T13" s="92"/>
      <c r="U13" s="93"/>
      <c r="V13" s="93"/>
      <c r="W13" s="93"/>
      <c r="X13" s="93"/>
      <c r="Y13" s="93"/>
      <c r="Z13" s="93"/>
      <c r="AA13" s="93"/>
      <c r="AB13" s="93"/>
      <c r="AC13" s="93"/>
    </row>
    <row r="14" spans="1:30" ht="15.5">
      <c r="A14" s="80">
        <v>46086</v>
      </c>
      <c r="B14" s="94" t="s">
        <v>84</v>
      </c>
      <c r="C14" s="82" t="s">
        <v>95</v>
      </c>
      <c r="D14" s="83" t="str">
        <f>IF(C14=" "," ",VLOOKUP(C14,'[1]Dữ Liệu'!$C$7:$D$134,2,FALSE))</f>
        <v>GUA</v>
      </c>
      <c r="E14" s="82" t="s">
        <v>86</v>
      </c>
      <c r="F14" s="84" t="s">
        <v>87</v>
      </c>
      <c r="G14" s="95" t="s">
        <v>91</v>
      </c>
      <c r="H14" s="86">
        <v>2</v>
      </c>
      <c r="I14" s="87">
        <f t="shared" si="0"/>
        <v>2</v>
      </c>
      <c r="J14" s="88">
        <f t="shared" si="1"/>
        <v>0</v>
      </c>
      <c r="K14" s="89"/>
      <c r="L14" s="87"/>
      <c r="M14" s="87"/>
      <c r="N14" s="87"/>
      <c r="O14" s="87"/>
      <c r="P14" s="87"/>
      <c r="Q14" s="90"/>
      <c r="R14" s="87"/>
      <c r="S14" s="91">
        <f t="shared" si="2"/>
        <v>0</v>
      </c>
      <c r="T14" s="92"/>
      <c r="U14" s="93"/>
      <c r="V14" s="93"/>
      <c r="W14" s="93"/>
      <c r="X14" s="93"/>
      <c r="Y14" s="93"/>
      <c r="Z14" s="93"/>
      <c r="AA14" s="93"/>
      <c r="AB14" s="93"/>
      <c r="AC14" s="93"/>
    </row>
    <row r="15" spans="1:30" ht="15.5">
      <c r="A15" s="80">
        <v>46086</v>
      </c>
      <c r="B15" s="96" t="s">
        <v>84</v>
      </c>
      <c r="C15" s="82" t="s">
        <v>95</v>
      </c>
      <c r="D15" s="82" t="str">
        <f>IF(C15=" "," ",VLOOKUP(C15,'[1]Dữ Liệu'!$C$7:$D$134,2,FALSE))</f>
        <v>GUA</v>
      </c>
      <c r="E15" s="97" t="s">
        <v>86</v>
      </c>
      <c r="F15" s="84" t="s">
        <v>87</v>
      </c>
      <c r="G15" s="98" t="s">
        <v>88</v>
      </c>
      <c r="H15" s="86">
        <v>1</v>
      </c>
      <c r="I15" s="87">
        <f t="shared" si="0"/>
        <v>1</v>
      </c>
      <c r="J15" s="88">
        <f t="shared" si="1"/>
        <v>0</v>
      </c>
      <c r="K15" s="89"/>
      <c r="L15" s="87"/>
      <c r="M15" s="87"/>
      <c r="N15" s="87"/>
      <c r="O15" s="87"/>
      <c r="P15" s="87"/>
      <c r="Q15" s="90"/>
      <c r="R15" s="87"/>
      <c r="S15" s="91">
        <f t="shared" si="2"/>
        <v>0</v>
      </c>
      <c r="T15" s="92"/>
      <c r="U15" s="93"/>
      <c r="V15" s="93"/>
      <c r="W15" s="93"/>
      <c r="X15" s="93"/>
      <c r="Y15" s="93"/>
      <c r="Z15" s="93"/>
      <c r="AA15" s="93"/>
      <c r="AB15" s="93"/>
      <c r="AC15" s="93"/>
    </row>
    <row r="16" spans="1:30" ht="15.5">
      <c r="A16" s="80">
        <v>46086</v>
      </c>
      <c r="B16" s="81" t="s">
        <v>84</v>
      </c>
      <c r="C16" s="82" t="s">
        <v>96</v>
      </c>
      <c r="D16" s="82" t="str">
        <f>IF(C16=" "," ",VLOOKUP(C16,'[1]Dữ Liệu'!$C$7:$D$134,2,FALSE))</f>
        <v>GUA</v>
      </c>
      <c r="E16" s="82" t="s">
        <v>86</v>
      </c>
      <c r="F16" s="84" t="s">
        <v>87</v>
      </c>
      <c r="G16" s="85" t="s">
        <v>88</v>
      </c>
      <c r="H16" s="86">
        <v>2</v>
      </c>
      <c r="I16" s="87">
        <f t="shared" si="0"/>
        <v>2</v>
      </c>
      <c r="J16" s="88">
        <f t="shared" si="1"/>
        <v>0</v>
      </c>
      <c r="K16" s="89"/>
      <c r="L16" s="87"/>
      <c r="M16" s="87"/>
      <c r="N16" s="87"/>
      <c r="O16" s="87"/>
      <c r="P16" s="87"/>
      <c r="Q16" s="90"/>
      <c r="R16" s="87"/>
      <c r="S16" s="91">
        <f t="shared" si="2"/>
        <v>0</v>
      </c>
      <c r="T16" s="92"/>
      <c r="U16" s="93"/>
      <c r="V16" s="93"/>
      <c r="W16" s="93"/>
      <c r="X16" s="93"/>
      <c r="Y16" s="93"/>
      <c r="Z16" s="93"/>
      <c r="AA16" s="93"/>
      <c r="AB16" s="93"/>
      <c r="AC16" s="93"/>
    </row>
    <row r="17" spans="1:30" ht="15.5">
      <c r="A17" s="80">
        <v>46086</v>
      </c>
      <c r="B17" s="81" t="s">
        <v>97</v>
      </c>
      <c r="C17" s="82" t="s">
        <v>85</v>
      </c>
      <c r="D17" s="82" t="str">
        <f>IF(C17=" "," ",VLOOKUP(C17,'[1]Dữ Liệu'!$C$7:$D$134,2,FALSE))</f>
        <v>GUA</v>
      </c>
      <c r="E17" s="82" t="s">
        <v>86</v>
      </c>
      <c r="F17" s="84" t="s">
        <v>87</v>
      </c>
      <c r="G17" s="85" t="s">
        <v>88</v>
      </c>
      <c r="H17" s="86">
        <v>4</v>
      </c>
      <c r="I17" s="87">
        <f t="shared" si="0"/>
        <v>4</v>
      </c>
      <c r="J17" s="88">
        <f t="shared" si="1"/>
        <v>0</v>
      </c>
      <c r="K17" s="89"/>
      <c r="L17" s="87"/>
      <c r="M17" s="87"/>
      <c r="N17" s="87"/>
      <c r="O17" s="87"/>
      <c r="P17" s="87"/>
      <c r="Q17" s="90"/>
      <c r="R17" s="87"/>
      <c r="S17" s="91">
        <f t="shared" si="2"/>
        <v>0</v>
      </c>
      <c r="T17" s="92"/>
      <c r="U17" s="93"/>
      <c r="V17" s="93"/>
      <c r="W17" s="93"/>
      <c r="X17" s="93"/>
      <c r="Y17" s="93"/>
      <c r="Z17" s="93"/>
      <c r="AA17" s="93"/>
      <c r="AB17" s="93"/>
      <c r="AC17" s="93"/>
    </row>
    <row r="18" spans="1:30" ht="15.5">
      <c r="A18" s="80">
        <v>46086</v>
      </c>
      <c r="B18" s="81" t="s">
        <v>97</v>
      </c>
      <c r="C18" s="82" t="s">
        <v>85</v>
      </c>
      <c r="D18" s="82" t="str">
        <f>IF(C18=" "," ",VLOOKUP(C18,'[1]Dữ Liệu'!$C$7:$D$134,2,FALSE))</f>
        <v>GUA</v>
      </c>
      <c r="E18" s="82" t="s">
        <v>86</v>
      </c>
      <c r="F18" s="84" t="s">
        <v>87</v>
      </c>
      <c r="G18" s="98" t="s">
        <v>89</v>
      </c>
      <c r="H18" s="86">
        <v>7</v>
      </c>
      <c r="I18" s="87">
        <f t="shared" si="0"/>
        <v>7</v>
      </c>
      <c r="J18" s="88">
        <f t="shared" si="1"/>
        <v>0</v>
      </c>
      <c r="K18" s="89"/>
      <c r="L18" s="87"/>
      <c r="M18" s="87"/>
      <c r="N18" s="87"/>
      <c r="O18" s="87"/>
      <c r="P18" s="87"/>
      <c r="Q18" s="90"/>
      <c r="R18" s="87"/>
      <c r="S18" s="91">
        <f t="shared" si="2"/>
        <v>0</v>
      </c>
      <c r="T18" s="92"/>
      <c r="U18" s="93"/>
      <c r="V18" s="93"/>
      <c r="W18" s="93"/>
      <c r="X18" s="93"/>
      <c r="Y18" s="93"/>
      <c r="Z18" s="93"/>
      <c r="AA18" s="93"/>
      <c r="AB18" s="93"/>
      <c r="AC18" s="93"/>
    </row>
    <row r="19" spans="1:30" ht="15.5">
      <c r="A19" s="80">
        <v>46086</v>
      </c>
      <c r="B19" s="81" t="s">
        <v>97</v>
      </c>
      <c r="C19" s="82" t="s">
        <v>90</v>
      </c>
      <c r="D19" s="82" t="str">
        <f>IF(C19=" "," ",VLOOKUP(C19,'[1]Dữ Liệu'!$C$7:$D$134,2,FALSE))</f>
        <v>GUA</v>
      </c>
      <c r="E19" s="82" t="s">
        <v>86</v>
      </c>
      <c r="F19" s="84" t="s">
        <v>87</v>
      </c>
      <c r="G19" s="85" t="s">
        <v>91</v>
      </c>
      <c r="H19" s="86">
        <v>12</v>
      </c>
      <c r="I19" s="87">
        <f t="shared" si="0"/>
        <v>12</v>
      </c>
      <c r="J19" s="88">
        <f t="shared" si="1"/>
        <v>0</v>
      </c>
      <c r="K19" s="89"/>
      <c r="L19" s="87"/>
      <c r="M19" s="87"/>
      <c r="N19" s="87"/>
      <c r="O19" s="87"/>
      <c r="P19" s="87"/>
      <c r="Q19" s="90"/>
      <c r="R19" s="87"/>
      <c r="S19" s="91">
        <f t="shared" si="2"/>
        <v>0</v>
      </c>
      <c r="T19" s="92"/>
      <c r="U19" s="93"/>
      <c r="V19" s="93"/>
      <c r="W19" s="93"/>
      <c r="X19" s="93"/>
      <c r="Y19" s="93"/>
      <c r="Z19" s="93"/>
      <c r="AA19" s="93"/>
      <c r="AB19" s="93"/>
      <c r="AC19" s="93"/>
    </row>
    <row r="20" spans="1:30" ht="15.5">
      <c r="A20" s="80">
        <v>46086</v>
      </c>
      <c r="B20" s="81" t="s">
        <v>97</v>
      </c>
      <c r="C20" s="82" t="s">
        <v>92</v>
      </c>
      <c r="D20" s="82" t="str">
        <f>IF(C20=" "," ",VLOOKUP(C20,'[1]Dữ Liệu'!$C$7:$D$134,2,FALSE))</f>
        <v>GUA</v>
      </c>
      <c r="E20" s="82" t="s">
        <v>86</v>
      </c>
      <c r="F20" s="84" t="s">
        <v>87</v>
      </c>
      <c r="G20" s="85" t="s">
        <v>91</v>
      </c>
      <c r="H20" s="86">
        <v>6</v>
      </c>
      <c r="I20" s="87">
        <f t="shared" si="0"/>
        <v>6</v>
      </c>
      <c r="J20" s="88">
        <f t="shared" si="1"/>
        <v>0</v>
      </c>
      <c r="K20" s="89"/>
      <c r="L20" s="87"/>
      <c r="M20" s="87"/>
      <c r="N20" s="87"/>
      <c r="O20" s="87"/>
      <c r="P20" s="87"/>
      <c r="Q20" s="90"/>
      <c r="R20" s="87"/>
      <c r="S20" s="91">
        <f t="shared" si="2"/>
        <v>0</v>
      </c>
      <c r="T20" s="92"/>
      <c r="U20" s="93"/>
      <c r="V20" s="93"/>
      <c r="W20" s="93"/>
      <c r="X20" s="93"/>
      <c r="Y20" s="93"/>
      <c r="Z20" s="93"/>
      <c r="AA20" s="93"/>
      <c r="AB20" s="93"/>
      <c r="AC20" s="93"/>
    </row>
    <row r="21" spans="1:30" ht="15.5">
      <c r="A21" s="80">
        <v>46086</v>
      </c>
      <c r="B21" s="81" t="s">
        <v>97</v>
      </c>
      <c r="C21" s="82" t="s">
        <v>92</v>
      </c>
      <c r="D21" s="82" t="str">
        <f>IF(C21=" "," ",VLOOKUP(C21,'[1]Dữ Liệu'!$C$7:$D$134,2,FALSE))</f>
        <v>GUA</v>
      </c>
      <c r="E21" s="82" t="s">
        <v>86</v>
      </c>
      <c r="F21" s="84" t="s">
        <v>87</v>
      </c>
      <c r="G21" s="85" t="s">
        <v>88</v>
      </c>
      <c r="H21" s="86">
        <v>10</v>
      </c>
      <c r="I21" s="87">
        <f t="shared" si="0"/>
        <v>10</v>
      </c>
      <c r="J21" s="88">
        <f t="shared" si="1"/>
        <v>0</v>
      </c>
      <c r="K21" s="89"/>
      <c r="L21" s="87"/>
      <c r="M21" s="87"/>
      <c r="N21" s="87"/>
      <c r="O21" s="87"/>
      <c r="P21" s="87"/>
      <c r="Q21" s="90"/>
      <c r="R21" s="87"/>
      <c r="S21" s="91">
        <f t="shared" si="2"/>
        <v>0</v>
      </c>
      <c r="T21" s="92"/>
      <c r="U21" s="93"/>
      <c r="V21" s="93"/>
      <c r="W21" s="93"/>
      <c r="X21" s="93"/>
      <c r="Y21" s="93"/>
      <c r="Z21" s="93"/>
      <c r="AA21" s="93"/>
      <c r="AB21" s="93"/>
      <c r="AC21" s="93"/>
    </row>
    <row r="22" spans="1:30" ht="16" thickBot="1">
      <c r="A22" s="80">
        <v>46086</v>
      </c>
      <c r="B22" s="81" t="s">
        <v>97</v>
      </c>
      <c r="C22" s="82" t="s">
        <v>92</v>
      </c>
      <c r="D22" s="82" t="str">
        <f>IF(C22=" "," ",VLOOKUP(C22,'[1]Dữ Liệu'!$C$7:$D$134,2,FALSE))</f>
        <v>GUA</v>
      </c>
      <c r="E22" s="82" t="s">
        <v>86</v>
      </c>
      <c r="F22" s="84" t="s">
        <v>87</v>
      </c>
      <c r="G22" s="85" t="s">
        <v>89</v>
      </c>
      <c r="H22" s="86">
        <v>3</v>
      </c>
      <c r="I22" s="87">
        <f t="shared" si="0"/>
        <v>3</v>
      </c>
      <c r="J22" s="88">
        <f t="shared" si="1"/>
        <v>0</v>
      </c>
      <c r="K22" s="89"/>
      <c r="L22" s="87"/>
      <c r="M22" s="87"/>
      <c r="N22" s="87"/>
      <c r="O22" s="87"/>
      <c r="P22" s="87"/>
      <c r="Q22" s="90"/>
      <c r="R22" s="87"/>
      <c r="S22" s="91">
        <f t="shared" si="2"/>
        <v>0</v>
      </c>
      <c r="T22" s="92"/>
      <c r="U22" s="93"/>
      <c r="V22" s="93"/>
      <c r="W22" s="93"/>
      <c r="X22" s="93"/>
      <c r="Y22" s="93"/>
      <c r="Z22" s="93"/>
      <c r="AA22" s="93"/>
      <c r="AB22" s="93"/>
      <c r="AC22" s="93"/>
    </row>
    <row r="23" spans="1:30" ht="15.5">
      <c r="A23" s="99">
        <v>46090</v>
      </c>
      <c r="B23" s="100" t="s">
        <v>84</v>
      </c>
      <c r="C23" s="101" t="s">
        <v>90</v>
      </c>
      <c r="D23" s="101" t="str">
        <f>IF(C23=" "," ",VLOOKUP(C23,'[1]Dữ Liệu'!$C$7:$D$134,2,FALSE))</f>
        <v>GUA</v>
      </c>
      <c r="E23" s="101" t="s">
        <v>86</v>
      </c>
      <c r="F23" s="102" t="s">
        <v>87</v>
      </c>
      <c r="G23" s="103" t="s">
        <v>94</v>
      </c>
      <c r="H23" s="104">
        <v>100</v>
      </c>
      <c r="I23" s="105">
        <f t="shared" si="0"/>
        <v>89</v>
      </c>
      <c r="J23" s="106">
        <f t="shared" si="1"/>
        <v>11</v>
      </c>
      <c r="K23" s="107"/>
      <c r="L23" s="105"/>
      <c r="M23" s="105"/>
      <c r="N23" s="105"/>
      <c r="O23" s="105">
        <v>9</v>
      </c>
      <c r="P23" s="105">
        <v>2</v>
      </c>
      <c r="Q23" s="108"/>
      <c r="R23" s="105"/>
      <c r="S23" s="109">
        <f t="shared" si="2"/>
        <v>0.11</v>
      </c>
      <c r="T23" s="110"/>
      <c r="U23" s="101"/>
      <c r="V23" s="57">
        <v>4</v>
      </c>
      <c r="W23" s="57">
        <v>1.5</v>
      </c>
      <c r="X23" s="101"/>
      <c r="Y23" s="101">
        <v>1</v>
      </c>
      <c r="Z23" s="101"/>
      <c r="AA23" s="101"/>
      <c r="AB23" s="101"/>
      <c r="AC23" s="101"/>
      <c r="AD23" t="s">
        <v>108</v>
      </c>
    </row>
    <row r="24" spans="1:30" ht="15.5">
      <c r="A24" s="111">
        <v>46090</v>
      </c>
      <c r="B24" s="112" t="s">
        <v>84</v>
      </c>
      <c r="C24" s="113" t="s">
        <v>90</v>
      </c>
      <c r="D24" s="113" t="str">
        <f>IF(C24=" "," ",VLOOKUP(C24,'[1]Dữ Liệu'!$C$7:$D$134,2,FALSE))</f>
        <v>GUA</v>
      </c>
      <c r="E24" s="113" t="s">
        <v>86</v>
      </c>
      <c r="F24" s="114" t="s">
        <v>87</v>
      </c>
      <c r="G24" s="115" t="s">
        <v>91</v>
      </c>
      <c r="H24" s="116">
        <v>86</v>
      </c>
      <c r="I24" s="117">
        <f t="shared" si="0"/>
        <v>81</v>
      </c>
      <c r="J24" s="118">
        <f t="shared" si="1"/>
        <v>5</v>
      </c>
      <c r="K24" s="119"/>
      <c r="L24" s="117"/>
      <c r="M24" s="117"/>
      <c r="N24" s="117"/>
      <c r="O24" s="117">
        <v>5</v>
      </c>
      <c r="P24" s="117"/>
      <c r="Q24" s="120"/>
      <c r="R24" s="117"/>
      <c r="S24" s="121">
        <f t="shared" si="2"/>
        <v>5.8139534883720929E-2</v>
      </c>
      <c r="T24" s="122"/>
      <c r="U24" s="123"/>
      <c r="V24" s="123"/>
      <c r="W24" s="123"/>
      <c r="X24" s="123"/>
      <c r="Y24" s="123"/>
      <c r="Z24" s="123"/>
      <c r="AA24" s="123"/>
      <c r="AB24" s="123"/>
      <c r="AC24" s="123"/>
    </row>
    <row r="25" spans="1:30" ht="15.5">
      <c r="A25" s="111">
        <v>46090</v>
      </c>
      <c r="B25" s="112" t="s">
        <v>84</v>
      </c>
      <c r="C25" s="113" t="s">
        <v>90</v>
      </c>
      <c r="D25" s="113" t="str">
        <f>IF(C25=" "," ",VLOOKUP(C25,'[1]Dữ Liệu'!$C$7:$D$134,2,FALSE))</f>
        <v>GUA</v>
      </c>
      <c r="E25" s="113" t="s">
        <v>86</v>
      </c>
      <c r="F25" s="114" t="s">
        <v>87</v>
      </c>
      <c r="G25" s="124" t="s">
        <v>88</v>
      </c>
      <c r="H25" s="116">
        <v>100</v>
      </c>
      <c r="I25" s="117">
        <f t="shared" si="0"/>
        <v>88</v>
      </c>
      <c r="J25" s="118">
        <f t="shared" si="1"/>
        <v>12</v>
      </c>
      <c r="K25" s="119"/>
      <c r="L25" s="117"/>
      <c r="M25" s="117"/>
      <c r="N25" s="117"/>
      <c r="O25" s="117">
        <v>9</v>
      </c>
      <c r="P25" s="117">
        <v>3</v>
      </c>
      <c r="Q25" s="120"/>
      <c r="R25" s="117"/>
      <c r="S25" s="121">
        <f t="shared" si="2"/>
        <v>0.12</v>
      </c>
      <c r="T25" s="122"/>
      <c r="U25" s="123"/>
      <c r="V25" s="123"/>
      <c r="W25" s="123"/>
      <c r="X25" s="123"/>
      <c r="Y25" s="123"/>
      <c r="Z25" s="123"/>
      <c r="AA25" s="123"/>
      <c r="AB25" s="123"/>
      <c r="AC25" s="123"/>
    </row>
    <row r="26" spans="1:30" ht="15.5">
      <c r="A26" s="111">
        <v>46090</v>
      </c>
      <c r="B26" s="112" t="s">
        <v>84</v>
      </c>
      <c r="C26" s="113" t="s">
        <v>90</v>
      </c>
      <c r="D26" s="113" t="str">
        <f>IF(C26=" "," ",VLOOKUP(C26,'[1]Dữ Liệu'!$C$7:$D$134,2,FALSE))</f>
        <v>GUA</v>
      </c>
      <c r="E26" s="113" t="s">
        <v>86</v>
      </c>
      <c r="F26" s="114" t="s">
        <v>87</v>
      </c>
      <c r="G26" s="124" t="s">
        <v>89</v>
      </c>
      <c r="H26" s="116">
        <v>50</v>
      </c>
      <c r="I26" s="117">
        <f t="shared" si="0"/>
        <v>47</v>
      </c>
      <c r="J26" s="118">
        <f t="shared" si="1"/>
        <v>3</v>
      </c>
      <c r="K26" s="119"/>
      <c r="L26" s="117"/>
      <c r="M26" s="117"/>
      <c r="N26" s="117"/>
      <c r="O26" s="117">
        <v>2</v>
      </c>
      <c r="P26" s="117">
        <v>1</v>
      </c>
      <c r="Q26" s="120"/>
      <c r="R26" s="117"/>
      <c r="S26" s="121">
        <f t="shared" si="2"/>
        <v>0.06</v>
      </c>
      <c r="T26" s="122"/>
      <c r="U26" s="123"/>
      <c r="V26" s="123"/>
      <c r="W26" s="123"/>
      <c r="X26" s="123"/>
      <c r="Y26" s="123"/>
      <c r="Z26" s="123"/>
      <c r="AA26" s="123"/>
      <c r="AB26" s="123"/>
      <c r="AC26" s="123"/>
    </row>
    <row r="27" spans="1:30" ht="15.5">
      <c r="A27" s="111">
        <v>46090</v>
      </c>
      <c r="B27" s="112" t="s">
        <v>84</v>
      </c>
      <c r="C27" s="113" t="s">
        <v>90</v>
      </c>
      <c r="D27" s="113" t="str">
        <f>IF(C27=" "," ",VLOOKUP(C27,'[1]Dữ Liệu'!$C$7:$D$134,2,FALSE))</f>
        <v>GUA</v>
      </c>
      <c r="E27" s="113" t="s">
        <v>86</v>
      </c>
      <c r="F27" s="114" t="s">
        <v>87</v>
      </c>
      <c r="G27" s="124" t="s">
        <v>98</v>
      </c>
      <c r="H27" s="116">
        <v>28</v>
      </c>
      <c r="I27" s="117">
        <f t="shared" si="0"/>
        <v>27</v>
      </c>
      <c r="J27" s="118">
        <f t="shared" si="1"/>
        <v>1</v>
      </c>
      <c r="K27" s="119"/>
      <c r="L27" s="117"/>
      <c r="M27" s="117"/>
      <c r="N27" s="117"/>
      <c r="O27" s="117">
        <v>1</v>
      </c>
      <c r="P27" s="117"/>
      <c r="Q27" s="120"/>
      <c r="R27" s="117"/>
      <c r="S27" s="121">
        <f t="shared" si="2"/>
        <v>3.5714285714285712E-2</v>
      </c>
      <c r="T27" s="122"/>
      <c r="U27" s="123"/>
      <c r="V27" s="123"/>
      <c r="W27" s="123"/>
      <c r="X27" s="123"/>
      <c r="Y27" s="123"/>
      <c r="Z27" s="123"/>
      <c r="AA27" s="123"/>
      <c r="AB27" s="123"/>
      <c r="AC27" s="123"/>
    </row>
    <row r="28" spans="1:30" ht="15.5">
      <c r="A28" s="111">
        <v>46090</v>
      </c>
      <c r="B28" s="112" t="s">
        <v>84</v>
      </c>
      <c r="C28" s="113" t="s">
        <v>90</v>
      </c>
      <c r="D28" s="113" t="str">
        <f>IF(C28=" "," ",VLOOKUP(C28,'[1]Dữ Liệu'!$C$7:$D$134,2,FALSE))</f>
        <v>GUA</v>
      </c>
      <c r="E28" s="113" t="s">
        <v>86</v>
      </c>
      <c r="F28" s="114" t="s">
        <v>87</v>
      </c>
      <c r="G28" s="124" t="s">
        <v>99</v>
      </c>
      <c r="H28" s="116">
        <v>20</v>
      </c>
      <c r="I28" s="117">
        <f t="shared" si="0"/>
        <v>19</v>
      </c>
      <c r="J28" s="118">
        <f t="shared" si="1"/>
        <v>1</v>
      </c>
      <c r="K28" s="119"/>
      <c r="L28" s="117"/>
      <c r="M28" s="117"/>
      <c r="N28" s="117"/>
      <c r="O28" s="117">
        <v>1</v>
      </c>
      <c r="P28" s="117"/>
      <c r="Q28" s="120"/>
      <c r="R28" s="117"/>
      <c r="S28" s="121">
        <f t="shared" si="2"/>
        <v>0.05</v>
      </c>
      <c r="T28" s="122"/>
      <c r="U28" s="123"/>
      <c r="V28" s="123"/>
      <c r="W28" s="123"/>
      <c r="X28" s="123"/>
      <c r="Y28" s="123"/>
      <c r="Z28" s="123"/>
      <c r="AA28" s="123"/>
      <c r="AB28" s="123"/>
      <c r="AC28" s="123"/>
    </row>
    <row r="29" spans="1:30" ht="15.5">
      <c r="A29" s="111">
        <v>46090</v>
      </c>
      <c r="B29" s="112" t="s">
        <v>84</v>
      </c>
      <c r="C29" s="113" t="s">
        <v>85</v>
      </c>
      <c r="D29" s="113" t="str">
        <f>IF(C29=" "," ",VLOOKUP(C29,'[1]Dữ Liệu'!$C$7:$D$134,2,FALSE))</f>
        <v>GUA</v>
      </c>
      <c r="E29" s="113" t="s">
        <v>86</v>
      </c>
      <c r="F29" s="114" t="s">
        <v>87</v>
      </c>
      <c r="G29" s="124" t="s">
        <v>89</v>
      </c>
      <c r="H29" s="116">
        <v>38</v>
      </c>
      <c r="I29" s="117">
        <f t="shared" si="0"/>
        <v>37</v>
      </c>
      <c r="J29" s="118">
        <f t="shared" si="1"/>
        <v>1</v>
      </c>
      <c r="K29" s="119"/>
      <c r="L29" s="117"/>
      <c r="M29" s="117"/>
      <c r="N29" s="117"/>
      <c r="O29" s="117">
        <v>1</v>
      </c>
      <c r="P29" s="117"/>
      <c r="Q29" s="120"/>
      <c r="R29" s="117"/>
      <c r="S29" s="121">
        <f t="shared" si="2"/>
        <v>2.6315789473684209E-2</v>
      </c>
      <c r="T29" s="122"/>
      <c r="U29" s="123"/>
      <c r="V29" s="123"/>
      <c r="W29" s="123"/>
      <c r="X29" s="123"/>
      <c r="Y29" s="123"/>
      <c r="Z29" s="123"/>
      <c r="AA29" s="123"/>
      <c r="AB29" s="123"/>
      <c r="AC29" s="123"/>
    </row>
    <row r="30" spans="1:30" ht="15.5">
      <c r="A30" s="99">
        <v>46090</v>
      </c>
      <c r="B30" s="100" t="s">
        <v>97</v>
      </c>
      <c r="C30" s="101" t="s">
        <v>90</v>
      </c>
      <c r="D30" s="101" t="str">
        <f>IF(C30=" "," ",VLOOKUP(C30,'[1]Dữ Liệu'!$C$7:$D$134,2,FALSE))</f>
        <v>GUA</v>
      </c>
      <c r="E30" s="101" t="s">
        <v>86</v>
      </c>
      <c r="F30" s="102" t="s">
        <v>87</v>
      </c>
      <c r="G30" s="103" t="s">
        <v>94</v>
      </c>
      <c r="H30" s="104">
        <v>11</v>
      </c>
      <c r="I30" s="105">
        <f t="shared" si="0"/>
        <v>11</v>
      </c>
      <c r="J30" s="106">
        <f t="shared" si="1"/>
        <v>0</v>
      </c>
      <c r="K30" s="107"/>
      <c r="L30" s="105"/>
      <c r="M30" s="105"/>
      <c r="N30" s="105"/>
      <c r="O30" s="105"/>
      <c r="P30" s="105"/>
      <c r="Q30" s="108"/>
      <c r="R30" s="105"/>
      <c r="S30" s="109">
        <f t="shared" si="2"/>
        <v>0</v>
      </c>
      <c r="T30" s="110"/>
      <c r="U30" s="101"/>
      <c r="V30" s="101"/>
      <c r="W30" s="101"/>
      <c r="X30" s="101"/>
      <c r="Y30" s="101"/>
      <c r="Z30" s="101"/>
      <c r="AA30" s="101"/>
      <c r="AB30" s="101"/>
      <c r="AC30" s="101"/>
    </row>
    <row r="31" spans="1:30" ht="15.5">
      <c r="A31" s="111">
        <v>46090</v>
      </c>
      <c r="B31" s="112" t="s">
        <v>97</v>
      </c>
      <c r="C31" s="113" t="s">
        <v>90</v>
      </c>
      <c r="D31" s="113" t="str">
        <f>IF(C31=" "," ",VLOOKUP(C31,'[1]Dữ Liệu'!$C$7:$D$134,2,FALSE))</f>
        <v>GUA</v>
      </c>
      <c r="E31" s="113" t="s">
        <v>86</v>
      </c>
      <c r="F31" s="114" t="s">
        <v>87</v>
      </c>
      <c r="G31" s="124" t="s">
        <v>91</v>
      </c>
      <c r="H31" s="116">
        <v>5</v>
      </c>
      <c r="I31" s="117">
        <f t="shared" si="0"/>
        <v>5</v>
      </c>
      <c r="J31" s="118">
        <f t="shared" si="1"/>
        <v>0</v>
      </c>
      <c r="K31" s="119"/>
      <c r="L31" s="117"/>
      <c r="M31" s="117"/>
      <c r="N31" s="117"/>
      <c r="O31" s="117"/>
      <c r="P31" s="117"/>
      <c r="Q31" s="120"/>
      <c r="R31" s="117"/>
      <c r="S31" s="121">
        <f t="shared" si="2"/>
        <v>0</v>
      </c>
      <c r="T31" s="122"/>
      <c r="U31" s="123"/>
      <c r="V31" s="123"/>
      <c r="W31" s="123"/>
      <c r="X31" s="123"/>
      <c r="Y31" s="123"/>
      <c r="Z31" s="123"/>
      <c r="AA31" s="123"/>
      <c r="AB31" s="123"/>
      <c r="AC31" s="123"/>
    </row>
    <row r="32" spans="1:30" ht="15.5">
      <c r="A32" s="111">
        <v>46090</v>
      </c>
      <c r="B32" s="112" t="s">
        <v>97</v>
      </c>
      <c r="C32" s="113" t="s">
        <v>90</v>
      </c>
      <c r="D32" s="113" t="str">
        <f>IF(C32=" "," ",VLOOKUP(C32,'[1]Dữ Liệu'!$C$7:$D$134,2,FALSE))</f>
        <v>GUA</v>
      </c>
      <c r="E32" s="113" t="s">
        <v>86</v>
      </c>
      <c r="F32" s="114" t="s">
        <v>87</v>
      </c>
      <c r="G32" s="124" t="s">
        <v>88</v>
      </c>
      <c r="H32" s="116">
        <v>12</v>
      </c>
      <c r="I32" s="117">
        <f t="shared" si="0"/>
        <v>12</v>
      </c>
      <c r="J32" s="118">
        <f t="shared" si="1"/>
        <v>0</v>
      </c>
      <c r="K32" s="119"/>
      <c r="L32" s="117"/>
      <c r="M32" s="117"/>
      <c r="N32" s="117"/>
      <c r="O32" s="117"/>
      <c r="P32" s="117"/>
      <c r="Q32" s="120"/>
      <c r="R32" s="117"/>
      <c r="S32" s="121">
        <f t="shared" si="2"/>
        <v>0</v>
      </c>
      <c r="T32" s="122"/>
      <c r="U32" s="123"/>
      <c r="V32" s="123"/>
      <c r="W32" s="123"/>
      <c r="X32" s="123"/>
      <c r="Y32" s="123"/>
      <c r="Z32" s="123"/>
      <c r="AA32" s="123"/>
      <c r="AB32" s="123"/>
      <c r="AC32" s="123"/>
    </row>
    <row r="33" spans="1:30" ht="15.5">
      <c r="A33" s="111">
        <v>46090</v>
      </c>
      <c r="B33" s="112" t="s">
        <v>97</v>
      </c>
      <c r="C33" s="113" t="s">
        <v>90</v>
      </c>
      <c r="D33" s="113" t="str">
        <f>IF(C33=" "," ",VLOOKUP(C33,'[1]Dữ Liệu'!$C$7:$D$134,2,FALSE))</f>
        <v>GUA</v>
      </c>
      <c r="E33" s="113" t="s">
        <v>86</v>
      </c>
      <c r="F33" s="114" t="s">
        <v>87</v>
      </c>
      <c r="G33" s="124" t="s">
        <v>89</v>
      </c>
      <c r="H33" s="116">
        <v>3</v>
      </c>
      <c r="I33" s="117">
        <f t="shared" si="0"/>
        <v>3</v>
      </c>
      <c r="J33" s="118">
        <f t="shared" si="1"/>
        <v>0</v>
      </c>
      <c r="K33" s="119"/>
      <c r="L33" s="117"/>
      <c r="M33" s="117"/>
      <c r="N33" s="117"/>
      <c r="O33" s="117"/>
      <c r="P33" s="117"/>
      <c r="Q33" s="120"/>
      <c r="R33" s="117"/>
      <c r="S33" s="121">
        <f t="shared" si="2"/>
        <v>0</v>
      </c>
      <c r="T33" s="122"/>
      <c r="U33" s="123"/>
      <c r="V33" s="123"/>
      <c r="W33" s="123"/>
      <c r="X33" s="123"/>
      <c r="Y33" s="123"/>
      <c r="Z33" s="123"/>
      <c r="AA33" s="123"/>
      <c r="AB33" s="123"/>
      <c r="AC33" s="123"/>
    </row>
    <row r="34" spans="1:30" ht="15.5">
      <c r="A34" s="111">
        <v>46090</v>
      </c>
      <c r="B34" s="112" t="s">
        <v>97</v>
      </c>
      <c r="C34" s="113" t="s">
        <v>90</v>
      </c>
      <c r="D34" s="113" t="str">
        <f>IF(C34=" "," ",VLOOKUP(C34,'[1]Dữ Liệu'!$C$7:$D$134,2,FALSE))</f>
        <v>GUA</v>
      </c>
      <c r="E34" s="113" t="s">
        <v>86</v>
      </c>
      <c r="F34" s="114" t="s">
        <v>87</v>
      </c>
      <c r="G34" s="124" t="s">
        <v>98</v>
      </c>
      <c r="H34" s="116">
        <v>1</v>
      </c>
      <c r="I34" s="117">
        <f t="shared" si="0"/>
        <v>1</v>
      </c>
      <c r="J34" s="118">
        <f t="shared" si="1"/>
        <v>0</v>
      </c>
      <c r="K34" s="119"/>
      <c r="L34" s="117"/>
      <c r="M34" s="117"/>
      <c r="N34" s="117"/>
      <c r="O34" s="117"/>
      <c r="P34" s="117"/>
      <c r="Q34" s="120"/>
      <c r="R34" s="117"/>
      <c r="S34" s="121">
        <f t="shared" si="2"/>
        <v>0</v>
      </c>
      <c r="T34" s="122"/>
      <c r="U34" s="123"/>
      <c r="V34" s="123"/>
      <c r="W34" s="123"/>
      <c r="X34" s="123"/>
      <c r="Y34" s="123"/>
      <c r="Z34" s="123"/>
      <c r="AA34" s="123"/>
      <c r="AB34" s="123"/>
      <c r="AC34" s="123"/>
    </row>
    <row r="35" spans="1:30" ht="15.5">
      <c r="A35" s="111">
        <v>46090</v>
      </c>
      <c r="B35" s="112" t="s">
        <v>97</v>
      </c>
      <c r="C35" s="113" t="s">
        <v>90</v>
      </c>
      <c r="D35" s="113" t="str">
        <f>IF(C35=" "," ",VLOOKUP(C35,'[1]Dữ Liệu'!$C$7:$D$134,2,FALSE))</f>
        <v>GUA</v>
      </c>
      <c r="E35" s="113" t="s">
        <v>86</v>
      </c>
      <c r="F35" s="114" t="s">
        <v>87</v>
      </c>
      <c r="G35" s="124" t="s">
        <v>99</v>
      </c>
      <c r="H35" s="116">
        <v>1</v>
      </c>
      <c r="I35" s="117">
        <f t="shared" si="0"/>
        <v>1</v>
      </c>
      <c r="J35" s="118">
        <f t="shared" si="1"/>
        <v>0</v>
      </c>
      <c r="K35" s="119"/>
      <c r="L35" s="117"/>
      <c r="M35" s="117"/>
      <c r="N35" s="117"/>
      <c r="O35" s="117"/>
      <c r="P35" s="117"/>
      <c r="Q35" s="120"/>
      <c r="R35" s="117"/>
      <c r="S35" s="121">
        <f t="shared" si="2"/>
        <v>0</v>
      </c>
      <c r="T35" s="122"/>
      <c r="U35" s="123"/>
      <c r="V35" s="123"/>
      <c r="W35" s="123"/>
      <c r="X35" s="123"/>
      <c r="Y35" s="123"/>
      <c r="Z35" s="123"/>
      <c r="AA35" s="123"/>
      <c r="AB35" s="123"/>
      <c r="AC35" s="123"/>
    </row>
    <row r="36" spans="1:30" ht="16" thickBot="1">
      <c r="A36" s="111">
        <v>46090</v>
      </c>
      <c r="B36" s="112" t="s">
        <v>97</v>
      </c>
      <c r="C36" s="113" t="s">
        <v>85</v>
      </c>
      <c r="D36" s="113" t="str">
        <f>IF(C36=" "," ",VLOOKUP(C36,'[1]Dữ Liệu'!$C$7:$D$134,2,FALSE))</f>
        <v>GUA</v>
      </c>
      <c r="E36" s="113" t="s">
        <v>86</v>
      </c>
      <c r="F36" s="114" t="s">
        <v>87</v>
      </c>
      <c r="G36" s="124" t="s">
        <v>89</v>
      </c>
      <c r="H36" s="116">
        <v>1</v>
      </c>
      <c r="I36" s="117">
        <f t="shared" si="0"/>
        <v>1</v>
      </c>
      <c r="J36" s="118">
        <f t="shared" si="1"/>
        <v>0</v>
      </c>
      <c r="K36" s="119"/>
      <c r="L36" s="117"/>
      <c r="M36" s="117"/>
      <c r="N36" s="117"/>
      <c r="O36" s="117"/>
      <c r="P36" s="117"/>
      <c r="Q36" s="120"/>
      <c r="R36" s="117"/>
      <c r="S36" s="121">
        <f t="shared" si="2"/>
        <v>0</v>
      </c>
      <c r="T36" s="122"/>
      <c r="U36" s="123"/>
      <c r="V36" s="123"/>
      <c r="W36" s="123"/>
      <c r="X36" s="123"/>
      <c r="Y36" s="123"/>
      <c r="Z36" s="123"/>
      <c r="AA36" s="123"/>
      <c r="AB36" s="123"/>
      <c r="AC36" s="123"/>
    </row>
    <row r="37" spans="1:30" ht="15.5">
      <c r="A37" s="58">
        <v>46091</v>
      </c>
      <c r="B37" s="73" t="s">
        <v>84</v>
      </c>
      <c r="C37" s="60" t="s">
        <v>85</v>
      </c>
      <c r="D37" s="60" t="str">
        <f>IF(C37=" "," ",VLOOKUP(C37,'[1]Dữ Liệu'!$C$7:$D$134,2,FALSE))</f>
        <v>GUA</v>
      </c>
      <c r="E37" s="60" t="s">
        <v>86</v>
      </c>
      <c r="F37" s="63" t="s">
        <v>87</v>
      </c>
      <c r="G37" s="64" t="s">
        <v>100</v>
      </c>
      <c r="H37" s="65">
        <v>15</v>
      </c>
      <c r="I37" s="66">
        <f t="shared" si="0"/>
        <v>14</v>
      </c>
      <c r="J37" s="76">
        <f t="shared" si="1"/>
        <v>1</v>
      </c>
      <c r="K37" s="68"/>
      <c r="L37" s="66"/>
      <c r="M37" s="66"/>
      <c r="N37" s="66"/>
      <c r="O37" s="66">
        <v>1</v>
      </c>
      <c r="P37" s="66"/>
      <c r="Q37" s="69"/>
      <c r="R37" s="66"/>
      <c r="S37" s="70">
        <f t="shared" si="2"/>
        <v>6.6666666666666666E-2</v>
      </c>
      <c r="T37" s="71"/>
      <c r="U37" s="72"/>
      <c r="V37" s="57">
        <v>4</v>
      </c>
      <c r="W37" s="57">
        <v>1.5</v>
      </c>
      <c r="X37" s="72"/>
      <c r="Y37" s="72">
        <v>1</v>
      </c>
      <c r="Z37" s="72"/>
      <c r="AA37" s="72"/>
      <c r="AB37" s="72"/>
      <c r="AC37" s="72"/>
      <c r="AD37" t="s">
        <v>109</v>
      </c>
    </row>
    <row r="38" spans="1:30" ht="15.5">
      <c r="A38" s="58">
        <v>46091</v>
      </c>
      <c r="B38" s="73" t="s">
        <v>84</v>
      </c>
      <c r="C38" s="60" t="s">
        <v>85</v>
      </c>
      <c r="D38" s="60" t="str">
        <f>IF(C38=" "," ",VLOOKUP(C38,'[1]Dữ Liệu'!$C$7:$D$134,2,FALSE))</f>
        <v>GUA</v>
      </c>
      <c r="E38" s="60" t="s">
        <v>86</v>
      </c>
      <c r="F38" s="63" t="s">
        <v>87</v>
      </c>
      <c r="G38" s="64" t="s">
        <v>94</v>
      </c>
      <c r="H38" s="65">
        <v>71</v>
      </c>
      <c r="I38" s="66">
        <f t="shared" si="0"/>
        <v>65</v>
      </c>
      <c r="J38" s="76">
        <f t="shared" si="1"/>
        <v>6</v>
      </c>
      <c r="K38" s="68"/>
      <c r="L38" s="66"/>
      <c r="M38" s="66"/>
      <c r="N38" s="66"/>
      <c r="O38" s="66">
        <v>1</v>
      </c>
      <c r="P38" s="66">
        <v>5</v>
      </c>
      <c r="Q38" s="69"/>
      <c r="R38" s="66"/>
      <c r="S38" s="70">
        <f t="shared" si="2"/>
        <v>8.4507042253521125E-2</v>
      </c>
      <c r="T38" s="71"/>
      <c r="U38" s="72"/>
      <c r="V38" s="72"/>
      <c r="W38" s="72"/>
      <c r="X38" s="72"/>
      <c r="Y38" s="72"/>
      <c r="Z38" s="72"/>
      <c r="AA38" s="72"/>
      <c r="AB38" s="72"/>
      <c r="AC38" s="72"/>
    </row>
    <row r="39" spans="1:30" ht="15.5">
      <c r="A39" s="58">
        <v>46091</v>
      </c>
      <c r="B39" s="73" t="s">
        <v>84</v>
      </c>
      <c r="C39" s="60" t="s">
        <v>85</v>
      </c>
      <c r="D39" s="60" t="str">
        <f>IF(C39=" "," ",VLOOKUP(C39,'[1]Dữ Liệu'!$C$7:$D$134,2,FALSE))</f>
        <v>GUA</v>
      </c>
      <c r="E39" s="60" t="s">
        <v>86</v>
      </c>
      <c r="F39" s="63" t="s">
        <v>87</v>
      </c>
      <c r="G39" s="64" t="s">
        <v>91</v>
      </c>
      <c r="H39" s="65">
        <v>112</v>
      </c>
      <c r="I39" s="66">
        <f t="shared" si="0"/>
        <v>100</v>
      </c>
      <c r="J39" s="76">
        <f t="shared" si="1"/>
        <v>12</v>
      </c>
      <c r="K39" s="68"/>
      <c r="L39" s="66"/>
      <c r="M39" s="66"/>
      <c r="N39" s="66"/>
      <c r="O39" s="66">
        <v>3</v>
      </c>
      <c r="P39" s="66">
        <v>9</v>
      </c>
      <c r="Q39" s="69"/>
      <c r="R39" s="66"/>
      <c r="S39" s="70">
        <f t="shared" si="2"/>
        <v>0.10714285714285714</v>
      </c>
      <c r="T39" s="71"/>
      <c r="U39" s="72"/>
      <c r="V39" s="72"/>
      <c r="W39" s="72"/>
      <c r="X39" s="72"/>
      <c r="Y39" s="72"/>
      <c r="Z39" s="72"/>
      <c r="AA39" s="72"/>
      <c r="AB39" s="72"/>
      <c r="AC39" s="72"/>
    </row>
    <row r="40" spans="1:30" ht="15.5">
      <c r="A40" s="58">
        <v>46091</v>
      </c>
      <c r="B40" s="73" t="s">
        <v>84</v>
      </c>
      <c r="C40" s="60" t="s">
        <v>85</v>
      </c>
      <c r="D40" s="60" t="str">
        <f>IF(C40=" "," ",VLOOKUP(C40,'[1]Dữ Liệu'!$C$7:$D$134,2,FALSE))</f>
        <v>GUA</v>
      </c>
      <c r="E40" s="60" t="s">
        <v>86</v>
      </c>
      <c r="F40" s="63" t="s">
        <v>87</v>
      </c>
      <c r="G40" s="78" t="s">
        <v>88</v>
      </c>
      <c r="H40" s="65">
        <v>7</v>
      </c>
      <c r="I40" s="66">
        <f t="shared" si="0"/>
        <v>7</v>
      </c>
      <c r="J40" s="76">
        <f t="shared" si="1"/>
        <v>0</v>
      </c>
      <c r="K40" s="68"/>
      <c r="L40" s="66"/>
      <c r="M40" s="66"/>
      <c r="N40" s="66"/>
      <c r="O40" s="66"/>
      <c r="P40" s="66"/>
      <c r="Q40" s="69"/>
      <c r="R40" s="66"/>
      <c r="S40" s="70">
        <f t="shared" si="2"/>
        <v>0</v>
      </c>
      <c r="T40" s="71"/>
      <c r="U40" s="72"/>
      <c r="V40" s="72"/>
      <c r="W40" s="72"/>
      <c r="X40" s="72"/>
      <c r="Y40" s="72"/>
      <c r="Z40" s="72"/>
      <c r="AA40" s="72"/>
      <c r="AB40" s="72"/>
      <c r="AC40" s="72"/>
    </row>
    <row r="41" spans="1:30" ht="15.5">
      <c r="A41" s="58">
        <v>46091</v>
      </c>
      <c r="B41" s="73" t="s">
        <v>84</v>
      </c>
      <c r="C41" s="60" t="s">
        <v>85</v>
      </c>
      <c r="D41" s="60" t="str">
        <f>IF(C41=" "," ",VLOOKUP(C41,'[1]Dữ Liệu'!$C$7:$D$134,2,FALSE))</f>
        <v>GUA</v>
      </c>
      <c r="E41" s="60" t="s">
        <v>86</v>
      </c>
      <c r="F41" s="63" t="s">
        <v>87</v>
      </c>
      <c r="G41" s="64" t="s">
        <v>89</v>
      </c>
      <c r="H41" s="65">
        <v>1</v>
      </c>
      <c r="I41" s="66">
        <f t="shared" si="0"/>
        <v>1</v>
      </c>
      <c r="J41" s="76">
        <f t="shared" si="1"/>
        <v>0</v>
      </c>
      <c r="K41" s="68"/>
      <c r="L41" s="66"/>
      <c r="M41" s="66"/>
      <c r="N41" s="66"/>
      <c r="O41" s="66"/>
      <c r="P41" s="66"/>
      <c r="Q41" s="69"/>
      <c r="R41" s="66"/>
      <c r="S41" s="70">
        <f t="shared" si="2"/>
        <v>0</v>
      </c>
      <c r="T41" s="71"/>
      <c r="U41" s="72"/>
      <c r="V41" s="72"/>
      <c r="W41" s="72"/>
      <c r="X41" s="72"/>
      <c r="Y41" s="72"/>
      <c r="Z41" s="72"/>
      <c r="AA41" s="72"/>
      <c r="AB41" s="72"/>
      <c r="AC41" s="72"/>
    </row>
    <row r="42" spans="1:30" ht="15.5">
      <c r="A42" s="58">
        <v>46091</v>
      </c>
      <c r="B42" s="73" t="s">
        <v>84</v>
      </c>
      <c r="C42" s="60" t="s">
        <v>85</v>
      </c>
      <c r="D42" s="60" t="str">
        <f>IF(C42=" "," ",VLOOKUP(C42,'[1]Dữ Liệu'!$C$7:$D$134,2,FALSE))</f>
        <v>GUA</v>
      </c>
      <c r="E42" s="60" t="s">
        <v>86</v>
      </c>
      <c r="F42" s="63" t="s">
        <v>87</v>
      </c>
      <c r="G42" s="64" t="s">
        <v>98</v>
      </c>
      <c r="H42" s="65">
        <v>51</v>
      </c>
      <c r="I42" s="66">
        <f t="shared" si="0"/>
        <v>48</v>
      </c>
      <c r="J42" s="76">
        <f t="shared" si="1"/>
        <v>3</v>
      </c>
      <c r="K42" s="68"/>
      <c r="L42" s="66"/>
      <c r="M42" s="66"/>
      <c r="N42" s="66"/>
      <c r="O42" s="66"/>
      <c r="P42" s="66">
        <v>3</v>
      </c>
      <c r="Q42" s="69"/>
      <c r="R42" s="66"/>
      <c r="S42" s="70">
        <f t="shared" si="2"/>
        <v>5.8823529411764705E-2</v>
      </c>
      <c r="T42" s="71"/>
      <c r="U42" s="72"/>
      <c r="V42" s="72"/>
      <c r="W42" s="72"/>
      <c r="X42" s="72"/>
      <c r="Y42" s="72"/>
      <c r="Z42" s="72"/>
      <c r="AA42" s="72"/>
      <c r="AB42" s="72"/>
      <c r="AC42" s="72"/>
    </row>
    <row r="43" spans="1:30" ht="15.5">
      <c r="A43" s="58">
        <v>46091</v>
      </c>
      <c r="B43" s="73" t="s">
        <v>84</v>
      </c>
      <c r="C43" s="60" t="s">
        <v>85</v>
      </c>
      <c r="D43" s="60" t="str">
        <f>IF(C43=" "," ",VLOOKUP(C43,'[1]Dữ Liệu'!$C$7:$D$134,2,FALSE))</f>
        <v>GUA</v>
      </c>
      <c r="E43" s="60" t="s">
        <v>86</v>
      </c>
      <c r="F43" s="63" t="s">
        <v>87</v>
      </c>
      <c r="G43" s="64" t="s">
        <v>99</v>
      </c>
      <c r="H43" s="65">
        <v>30</v>
      </c>
      <c r="I43" s="66">
        <f t="shared" si="0"/>
        <v>28</v>
      </c>
      <c r="J43" s="76">
        <f t="shared" si="1"/>
        <v>2</v>
      </c>
      <c r="K43" s="68"/>
      <c r="L43" s="66"/>
      <c r="M43" s="66"/>
      <c r="N43" s="66"/>
      <c r="O43" s="66">
        <v>1</v>
      </c>
      <c r="P43" s="66">
        <v>1</v>
      </c>
      <c r="Q43" s="69"/>
      <c r="R43" s="66"/>
      <c r="S43" s="70">
        <f t="shared" si="2"/>
        <v>6.6666666666666666E-2</v>
      </c>
      <c r="T43" s="71"/>
      <c r="U43" s="72"/>
      <c r="V43" s="72"/>
      <c r="W43" s="72"/>
      <c r="X43" s="72"/>
      <c r="Y43" s="72"/>
      <c r="Z43" s="72"/>
      <c r="AA43" s="72"/>
      <c r="AB43" s="72"/>
      <c r="AC43" s="72"/>
    </row>
    <row r="44" spans="1:30" ht="15.5">
      <c r="A44" s="58">
        <v>46091</v>
      </c>
      <c r="B44" s="73" t="s">
        <v>84</v>
      </c>
      <c r="C44" s="60" t="s">
        <v>85</v>
      </c>
      <c r="D44" s="60" t="str">
        <f>IF(C44=" "," ",VLOOKUP(C44,'[1]Dữ Liệu'!$C$7:$D$134,2,FALSE))</f>
        <v>GUA</v>
      </c>
      <c r="E44" s="60" t="s">
        <v>86</v>
      </c>
      <c r="F44" s="63" t="s">
        <v>87</v>
      </c>
      <c r="G44" s="64" t="s">
        <v>101</v>
      </c>
      <c r="H44" s="65">
        <v>10</v>
      </c>
      <c r="I44" s="66">
        <f t="shared" si="0"/>
        <v>9</v>
      </c>
      <c r="J44" s="76">
        <f t="shared" si="1"/>
        <v>1</v>
      </c>
      <c r="K44" s="68"/>
      <c r="L44" s="66"/>
      <c r="M44" s="66"/>
      <c r="N44" s="66"/>
      <c r="O44" s="66">
        <v>1</v>
      </c>
      <c r="P44" s="66"/>
      <c r="Q44" s="69"/>
      <c r="R44" s="66"/>
      <c r="S44" s="70">
        <f t="shared" si="2"/>
        <v>0.1</v>
      </c>
      <c r="T44" s="71"/>
      <c r="U44" s="72"/>
      <c r="V44" s="72"/>
      <c r="W44" s="72"/>
      <c r="X44" s="72"/>
      <c r="Y44" s="72"/>
      <c r="Z44" s="72"/>
      <c r="AA44" s="72"/>
      <c r="AB44" s="72"/>
      <c r="AC44" s="72"/>
    </row>
    <row r="45" spans="1:30" ht="15.5">
      <c r="A45" s="58">
        <v>46091</v>
      </c>
      <c r="B45" s="73" t="s">
        <v>84</v>
      </c>
      <c r="C45" s="60" t="s">
        <v>85</v>
      </c>
      <c r="D45" s="60" t="str">
        <f>IF(C45=" "," ",VLOOKUP(C45,'[1]Dữ Liệu'!$C$7:$D$134,2,FALSE))</f>
        <v>GUA</v>
      </c>
      <c r="E45" s="60" t="s">
        <v>86</v>
      </c>
      <c r="F45" s="63" t="s">
        <v>87</v>
      </c>
      <c r="G45" s="64" t="s">
        <v>102</v>
      </c>
      <c r="H45" s="65">
        <v>10</v>
      </c>
      <c r="I45" s="66">
        <f t="shared" si="0"/>
        <v>9</v>
      </c>
      <c r="J45" s="76">
        <f t="shared" si="1"/>
        <v>1</v>
      </c>
      <c r="K45" s="68"/>
      <c r="L45" s="66"/>
      <c r="M45" s="66"/>
      <c r="N45" s="66"/>
      <c r="O45" s="66"/>
      <c r="P45" s="66">
        <v>1</v>
      </c>
      <c r="Q45" s="69"/>
      <c r="R45" s="66"/>
      <c r="S45" s="70">
        <f t="shared" si="2"/>
        <v>0.1</v>
      </c>
      <c r="T45" s="71"/>
      <c r="U45" s="72"/>
      <c r="V45" s="72"/>
      <c r="W45" s="72"/>
      <c r="X45" s="72"/>
      <c r="Y45" s="72"/>
      <c r="Z45" s="72"/>
      <c r="AA45" s="72"/>
      <c r="AB45" s="72"/>
      <c r="AC45" s="72"/>
    </row>
    <row r="46" spans="1:30" ht="15.5">
      <c r="A46" s="58">
        <v>46091</v>
      </c>
      <c r="B46" s="73" t="s">
        <v>84</v>
      </c>
      <c r="C46" s="60" t="s">
        <v>90</v>
      </c>
      <c r="D46" s="60" t="str">
        <f>IF(C46=" "," ",VLOOKUP(C46,'[1]Dữ Liệu'!$C$7:$D$134,2,FALSE))</f>
        <v>GUA</v>
      </c>
      <c r="E46" s="60" t="s">
        <v>86</v>
      </c>
      <c r="F46" s="63" t="s">
        <v>87</v>
      </c>
      <c r="G46" s="125" t="s">
        <v>94</v>
      </c>
      <c r="H46" s="65">
        <v>1</v>
      </c>
      <c r="I46" s="66">
        <f t="shared" si="0"/>
        <v>1</v>
      </c>
      <c r="J46" s="76">
        <f t="shared" si="1"/>
        <v>0</v>
      </c>
      <c r="K46" s="68"/>
      <c r="L46" s="66"/>
      <c r="M46" s="66"/>
      <c r="N46" s="66"/>
      <c r="O46" s="66"/>
      <c r="P46" s="66"/>
      <c r="Q46" s="69"/>
      <c r="R46" s="66"/>
      <c r="S46" s="70">
        <f t="shared" si="2"/>
        <v>0</v>
      </c>
      <c r="T46" s="71"/>
      <c r="U46" s="72"/>
      <c r="V46" s="72"/>
      <c r="W46" s="72"/>
      <c r="X46" s="72"/>
      <c r="Y46" s="72"/>
      <c r="Z46" s="72"/>
      <c r="AA46" s="72"/>
      <c r="AB46" s="72"/>
      <c r="AC46" s="72"/>
    </row>
    <row r="47" spans="1:30" ht="15.5">
      <c r="A47" s="58">
        <v>46091</v>
      </c>
      <c r="B47" s="73" t="s">
        <v>84</v>
      </c>
      <c r="C47" s="60" t="s">
        <v>90</v>
      </c>
      <c r="D47" s="60" t="str">
        <f>IF(C47=" "," ",VLOOKUP(C47,'[1]Dữ Liệu'!$C$7:$D$134,2,FALSE))</f>
        <v>GUA</v>
      </c>
      <c r="E47" s="60" t="s">
        <v>86</v>
      </c>
      <c r="F47" s="63" t="s">
        <v>87</v>
      </c>
      <c r="G47" s="126" t="s">
        <v>91</v>
      </c>
      <c r="H47" s="65">
        <v>2</v>
      </c>
      <c r="I47" s="66">
        <f t="shared" si="0"/>
        <v>2</v>
      </c>
      <c r="J47" s="76">
        <f t="shared" si="1"/>
        <v>0</v>
      </c>
      <c r="K47" s="68"/>
      <c r="L47" s="66"/>
      <c r="M47" s="66"/>
      <c r="N47" s="66"/>
      <c r="O47" s="66"/>
      <c r="P47" s="66"/>
      <c r="Q47" s="69"/>
      <c r="R47" s="66"/>
      <c r="S47" s="70">
        <f t="shared" si="2"/>
        <v>0</v>
      </c>
      <c r="T47" s="71"/>
      <c r="U47" s="72"/>
      <c r="V47" s="72"/>
      <c r="W47" s="72"/>
      <c r="X47" s="72"/>
      <c r="Y47" s="72"/>
      <c r="Z47" s="72"/>
      <c r="AA47" s="72"/>
      <c r="AB47" s="72"/>
      <c r="AC47" s="72"/>
    </row>
    <row r="48" spans="1:30" ht="15.5">
      <c r="A48" s="58">
        <v>46091</v>
      </c>
      <c r="B48" s="73" t="s">
        <v>84</v>
      </c>
      <c r="C48" s="60" t="s">
        <v>90</v>
      </c>
      <c r="D48" s="60" t="str">
        <f>IF(C48=" "," ",VLOOKUP(C48,'[1]Dữ Liệu'!$C$7:$D$134,2,FALSE))</f>
        <v>GUA</v>
      </c>
      <c r="E48" s="60" t="s">
        <v>86</v>
      </c>
      <c r="F48" s="63" t="s">
        <v>87</v>
      </c>
      <c r="G48" s="64" t="s">
        <v>88</v>
      </c>
      <c r="H48" s="65">
        <v>1</v>
      </c>
      <c r="I48" s="66">
        <f t="shared" si="0"/>
        <v>1</v>
      </c>
      <c r="J48" s="76">
        <f t="shared" si="1"/>
        <v>0</v>
      </c>
      <c r="K48" s="68"/>
      <c r="L48" s="66"/>
      <c r="M48" s="66"/>
      <c r="N48" s="66"/>
      <c r="O48" s="66"/>
      <c r="P48" s="66"/>
      <c r="Q48" s="69"/>
      <c r="R48" s="66"/>
      <c r="S48" s="70">
        <f t="shared" si="2"/>
        <v>0</v>
      </c>
      <c r="T48" s="71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5.5">
      <c r="A49" s="58">
        <v>46091</v>
      </c>
      <c r="B49" s="73" t="s">
        <v>84</v>
      </c>
      <c r="C49" s="60" t="s">
        <v>90</v>
      </c>
      <c r="D49" s="60" t="str">
        <f>IF(C49=" "," ",VLOOKUP(C49,'[1]Dữ Liệu'!$C$7:$D$134,2,FALSE))</f>
        <v>GUA</v>
      </c>
      <c r="E49" s="60" t="s">
        <v>86</v>
      </c>
      <c r="F49" s="63" t="s">
        <v>87</v>
      </c>
      <c r="G49" s="64" t="s">
        <v>89</v>
      </c>
      <c r="H49" s="65">
        <v>1</v>
      </c>
      <c r="I49" s="66">
        <f t="shared" si="0"/>
        <v>1</v>
      </c>
      <c r="J49" s="76">
        <f t="shared" si="1"/>
        <v>0</v>
      </c>
      <c r="K49" s="68"/>
      <c r="L49" s="66"/>
      <c r="M49" s="66"/>
      <c r="N49" s="66"/>
      <c r="O49" s="66"/>
      <c r="P49" s="66"/>
      <c r="Q49" s="69"/>
      <c r="R49" s="66"/>
      <c r="S49" s="70">
        <f t="shared" si="2"/>
        <v>0</v>
      </c>
      <c r="T49" s="71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5.5">
      <c r="A50" s="58">
        <v>46091</v>
      </c>
      <c r="B50" s="73" t="s">
        <v>84</v>
      </c>
      <c r="C50" s="60" t="s">
        <v>90</v>
      </c>
      <c r="D50" s="60" t="str">
        <f>IF(C50=" "," ",VLOOKUP(C50,'[1]Dữ Liệu'!$C$7:$D$134,2,FALSE))</f>
        <v>GUA</v>
      </c>
      <c r="E50" s="60" t="s">
        <v>86</v>
      </c>
      <c r="F50" s="63" t="s">
        <v>87</v>
      </c>
      <c r="G50" s="64" t="s">
        <v>98</v>
      </c>
      <c r="H50" s="65">
        <v>2</v>
      </c>
      <c r="I50" s="66">
        <f t="shared" si="0"/>
        <v>1</v>
      </c>
      <c r="J50" s="76">
        <f t="shared" si="1"/>
        <v>1</v>
      </c>
      <c r="K50" s="68"/>
      <c r="L50" s="66"/>
      <c r="M50" s="66"/>
      <c r="N50" s="66"/>
      <c r="O50" s="66">
        <v>1</v>
      </c>
      <c r="P50" s="66"/>
      <c r="Q50" s="69"/>
      <c r="R50" s="66"/>
      <c r="S50" s="70">
        <f t="shared" si="2"/>
        <v>0.5</v>
      </c>
      <c r="T50" s="71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5.5">
      <c r="A51" s="58">
        <v>46091</v>
      </c>
      <c r="B51" s="73" t="s">
        <v>97</v>
      </c>
      <c r="C51" s="60" t="s">
        <v>85</v>
      </c>
      <c r="D51" s="60" t="str">
        <f>IF(C51=" "," ",VLOOKUP(C51,'[1]Dữ Liệu'!$C$7:$D$134,2,FALSE))</f>
        <v>GUA</v>
      </c>
      <c r="E51" s="60" t="s">
        <v>86</v>
      </c>
      <c r="F51" s="63" t="s">
        <v>87</v>
      </c>
      <c r="G51" s="64" t="s">
        <v>100</v>
      </c>
      <c r="H51" s="65">
        <v>1</v>
      </c>
      <c r="I51" s="66">
        <f t="shared" si="0"/>
        <v>1</v>
      </c>
      <c r="J51" s="76">
        <f t="shared" si="1"/>
        <v>0</v>
      </c>
      <c r="K51" s="68"/>
      <c r="L51" s="66"/>
      <c r="M51" s="66"/>
      <c r="N51" s="66"/>
      <c r="O51" s="66"/>
      <c r="P51" s="66"/>
      <c r="Q51" s="69"/>
      <c r="R51" s="66"/>
      <c r="S51" s="70">
        <f t="shared" si="2"/>
        <v>0</v>
      </c>
      <c r="T51" s="71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5.5">
      <c r="A52" s="58">
        <v>46091</v>
      </c>
      <c r="B52" s="73" t="s">
        <v>97</v>
      </c>
      <c r="C52" s="60" t="s">
        <v>85</v>
      </c>
      <c r="D52" s="60" t="str">
        <f>IF(C52=" "," ",VLOOKUP(C52,'[1]Dữ Liệu'!$C$7:$D$134,2,FALSE))</f>
        <v>GUA</v>
      </c>
      <c r="E52" s="60" t="s">
        <v>86</v>
      </c>
      <c r="F52" s="63" t="s">
        <v>87</v>
      </c>
      <c r="G52" s="64" t="s">
        <v>94</v>
      </c>
      <c r="H52" s="65">
        <v>6</v>
      </c>
      <c r="I52" s="66">
        <f t="shared" si="0"/>
        <v>6</v>
      </c>
      <c r="J52" s="76">
        <f t="shared" si="1"/>
        <v>0</v>
      </c>
      <c r="K52" s="68"/>
      <c r="L52" s="66"/>
      <c r="M52" s="66"/>
      <c r="N52" s="66"/>
      <c r="O52" s="66"/>
      <c r="P52" s="66"/>
      <c r="Q52" s="69"/>
      <c r="R52" s="66"/>
      <c r="S52" s="70">
        <f t="shared" si="2"/>
        <v>0</v>
      </c>
      <c r="T52" s="71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5.5">
      <c r="A53" s="58">
        <v>46091</v>
      </c>
      <c r="B53" s="73" t="s">
        <v>97</v>
      </c>
      <c r="C53" s="60" t="s">
        <v>85</v>
      </c>
      <c r="D53" s="60" t="str">
        <f>IF(C53=" "," ",VLOOKUP(C53,'[1]Dữ Liệu'!$C$7:$D$134,2,FALSE))</f>
        <v>GUA</v>
      </c>
      <c r="E53" s="60" t="s">
        <v>86</v>
      </c>
      <c r="F53" s="63" t="s">
        <v>87</v>
      </c>
      <c r="G53" s="64" t="s">
        <v>91</v>
      </c>
      <c r="H53" s="65">
        <v>12</v>
      </c>
      <c r="I53" s="66">
        <f t="shared" si="0"/>
        <v>12</v>
      </c>
      <c r="J53" s="76">
        <f t="shared" si="1"/>
        <v>0</v>
      </c>
      <c r="K53" s="68"/>
      <c r="L53" s="66"/>
      <c r="M53" s="66"/>
      <c r="N53" s="66"/>
      <c r="O53" s="66"/>
      <c r="P53" s="66"/>
      <c r="Q53" s="69"/>
      <c r="R53" s="66"/>
      <c r="S53" s="70">
        <f t="shared" si="2"/>
        <v>0</v>
      </c>
      <c r="T53" s="71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5.5">
      <c r="A54" s="58">
        <v>46091</v>
      </c>
      <c r="B54" s="73" t="s">
        <v>97</v>
      </c>
      <c r="C54" s="60" t="s">
        <v>85</v>
      </c>
      <c r="D54" s="60" t="str">
        <f>IF(C54=" "," ",VLOOKUP(C54,'[1]Dữ Liệu'!$C$7:$D$134,2,FALSE))</f>
        <v>GUA</v>
      </c>
      <c r="E54" s="60" t="s">
        <v>86</v>
      </c>
      <c r="F54" s="63" t="s">
        <v>87</v>
      </c>
      <c r="G54" s="64" t="s">
        <v>98</v>
      </c>
      <c r="H54" s="65">
        <v>3</v>
      </c>
      <c r="I54" s="66">
        <f t="shared" si="0"/>
        <v>3</v>
      </c>
      <c r="J54" s="76">
        <f t="shared" si="1"/>
        <v>0</v>
      </c>
      <c r="K54" s="68"/>
      <c r="L54" s="66"/>
      <c r="M54" s="66"/>
      <c r="N54" s="66"/>
      <c r="O54" s="66"/>
      <c r="P54" s="66"/>
      <c r="Q54" s="69"/>
      <c r="R54" s="66"/>
      <c r="S54" s="70">
        <f t="shared" si="2"/>
        <v>0</v>
      </c>
      <c r="T54" s="71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5.5">
      <c r="A55" s="58">
        <v>46091</v>
      </c>
      <c r="B55" s="73" t="s">
        <v>97</v>
      </c>
      <c r="C55" s="60" t="s">
        <v>85</v>
      </c>
      <c r="D55" s="60" t="str">
        <f>IF(C55=" "," ",VLOOKUP(C55,'[1]Dữ Liệu'!$C$7:$D$134,2,FALSE))</f>
        <v>GUA</v>
      </c>
      <c r="E55" s="60" t="s">
        <v>86</v>
      </c>
      <c r="F55" s="63" t="s">
        <v>87</v>
      </c>
      <c r="G55" s="64" t="s">
        <v>99</v>
      </c>
      <c r="H55" s="65">
        <v>2</v>
      </c>
      <c r="I55" s="66">
        <f t="shared" si="0"/>
        <v>2</v>
      </c>
      <c r="J55" s="76">
        <f t="shared" si="1"/>
        <v>0</v>
      </c>
      <c r="K55" s="68"/>
      <c r="L55" s="66"/>
      <c r="M55" s="66"/>
      <c r="N55" s="66"/>
      <c r="O55" s="66"/>
      <c r="P55" s="66"/>
      <c r="Q55" s="69"/>
      <c r="R55" s="66"/>
      <c r="S55" s="70">
        <f t="shared" si="2"/>
        <v>0</v>
      </c>
      <c r="T55" s="71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5.5">
      <c r="A56" s="58">
        <v>46091</v>
      </c>
      <c r="B56" s="73" t="s">
        <v>97</v>
      </c>
      <c r="C56" s="60" t="s">
        <v>85</v>
      </c>
      <c r="D56" s="60" t="str">
        <f>IF(C56=" "," ",VLOOKUP(C56,'[1]Dữ Liệu'!$C$7:$D$134,2,FALSE))</f>
        <v>GUA</v>
      </c>
      <c r="E56" s="60" t="s">
        <v>86</v>
      </c>
      <c r="F56" s="63" t="s">
        <v>87</v>
      </c>
      <c r="G56" s="78" t="s">
        <v>101</v>
      </c>
      <c r="H56" s="65">
        <v>1</v>
      </c>
      <c r="I56" s="66">
        <f t="shared" si="0"/>
        <v>1</v>
      </c>
      <c r="J56" s="76">
        <f t="shared" si="1"/>
        <v>0</v>
      </c>
      <c r="K56" s="68"/>
      <c r="L56" s="66"/>
      <c r="M56" s="66"/>
      <c r="N56" s="66"/>
      <c r="O56" s="66"/>
      <c r="P56" s="66"/>
      <c r="Q56" s="69"/>
      <c r="R56" s="66"/>
      <c r="S56" s="70">
        <f t="shared" si="2"/>
        <v>0</v>
      </c>
      <c r="T56" s="71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5.5">
      <c r="A57" s="58">
        <v>46091</v>
      </c>
      <c r="B57" s="73" t="s">
        <v>97</v>
      </c>
      <c r="C57" s="60" t="s">
        <v>85</v>
      </c>
      <c r="D57" s="60" t="str">
        <f>IF(C57=" "," ",VLOOKUP(C57,'[1]Dữ Liệu'!$C$7:$D$134,2,FALSE))</f>
        <v>GUA</v>
      </c>
      <c r="E57" s="60" t="s">
        <v>86</v>
      </c>
      <c r="F57" s="63" t="s">
        <v>87</v>
      </c>
      <c r="G57" s="64" t="s">
        <v>102</v>
      </c>
      <c r="H57" s="65">
        <v>1</v>
      </c>
      <c r="I57" s="66">
        <f t="shared" si="0"/>
        <v>1</v>
      </c>
      <c r="J57" s="76">
        <f t="shared" si="1"/>
        <v>0</v>
      </c>
      <c r="K57" s="68"/>
      <c r="L57" s="66"/>
      <c r="M57" s="66"/>
      <c r="N57" s="66"/>
      <c r="O57" s="66"/>
      <c r="P57" s="66"/>
      <c r="Q57" s="69"/>
      <c r="R57" s="66"/>
      <c r="S57" s="70">
        <f t="shared" si="2"/>
        <v>0</v>
      </c>
      <c r="T57" s="71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5.5">
      <c r="A58" s="58">
        <v>46091</v>
      </c>
      <c r="B58" s="73" t="s">
        <v>97</v>
      </c>
      <c r="C58" s="60" t="s">
        <v>90</v>
      </c>
      <c r="D58" s="60" t="str">
        <f>IF(C58=" "," ",VLOOKUP(C58,'[1]Dữ Liệu'!$C$7:$D$134,2,FALSE))</f>
        <v>GUA</v>
      </c>
      <c r="E58" s="60" t="s">
        <v>86</v>
      </c>
      <c r="F58" s="63" t="s">
        <v>87</v>
      </c>
      <c r="G58" s="64" t="s">
        <v>98</v>
      </c>
      <c r="H58" s="65">
        <v>1</v>
      </c>
      <c r="I58" s="66">
        <f t="shared" si="0"/>
        <v>1</v>
      </c>
      <c r="J58" s="76">
        <f t="shared" si="1"/>
        <v>0</v>
      </c>
      <c r="K58" s="68"/>
      <c r="L58" s="66"/>
      <c r="M58" s="66"/>
      <c r="N58" s="66"/>
      <c r="O58" s="66"/>
      <c r="P58" s="66"/>
      <c r="Q58" s="69"/>
      <c r="R58" s="66"/>
      <c r="S58" s="70">
        <f t="shared" si="2"/>
        <v>0</v>
      </c>
      <c r="T58" s="71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5.5">
      <c r="A59" s="58">
        <v>46091</v>
      </c>
      <c r="B59" s="73" t="s">
        <v>84</v>
      </c>
      <c r="C59" s="60" t="s">
        <v>92</v>
      </c>
      <c r="D59" s="60" t="str">
        <f>IF(C59=" "," ",VLOOKUP(C59,'[1]Dữ Liệu'!$C$7:$D$134,2,FALSE))</f>
        <v>GUA</v>
      </c>
      <c r="E59" s="60" t="s">
        <v>86</v>
      </c>
      <c r="F59" s="63" t="s">
        <v>87</v>
      </c>
      <c r="G59" s="64" t="s">
        <v>100</v>
      </c>
      <c r="H59" s="65">
        <v>20</v>
      </c>
      <c r="I59" s="66">
        <f t="shared" si="0"/>
        <v>18</v>
      </c>
      <c r="J59" s="76">
        <f t="shared" si="1"/>
        <v>2</v>
      </c>
      <c r="K59" s="68"/>
      <c r="L59" s="66"/>
      <c r="M59" s="66"/>
      <c r="N59" s="66"/>
      <c r="O59" s="66"/>
      <c r="P59" s="66">
        <v>2</v>
      </c>
      <c r="Q59" s="69"/>
      <c r="R59" s="66"/>
      <c r="S59" s="70">
        <f t="shared" si="2"/>
        <v>0.1</v>
      </c>
      <c r="T59" s="71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5.5">
      <c r="A60" s="58">
        <v>46091</v>
      </c>
      <c r="B60" s="73" t="s">
        <v>84</v>
      </c>
      <c r="C60" s="60" t="s">
        <v>92</v>
      </c>
      <c r="D60" s="60" t="str">
        <f>IF(C60=" "," ",VLOOKUP(C60,'[1]Dữ Liệu'!$C$7:$D$134,2,FALSE))</f>
        <v>GUA</v>
      </c>
      <c r="E60" s="60" t="s">
        <v>86</v>
      </c>
      <c r="F60" s="63" t="s">
        <v>87</v>
      </c>
      <c r="G60" s="64" t="s">
        <v>94</v>
      </c>
      <c r="H60" s="65">
        <v>70</v>
      </c>
      <c r="I60" s="66">
        <f t="shared" si="0"/>
        <v>64</v>
      </c>
      <c r="J60" s="76">
        <f t="shared" si="1"/>
        <v>6</v>
      </c>
      <c r="K60" s="68"/>
      <c r="L60" s="66"/>
      <c r="M60" s="66"/>
      <c r="N60" s="66"/>
      <c r="O60" s="66">
        <v>1</v>
      </c>
      <c r="P60" s="66">
        <v>5</v>
      </c>
      <c r="Q60" s="69"/>
      <c r="R60" s="66"/>
      <c r="S60" s="70">
        <f t="shared" si="2"/>
        <v>8.5714285714285715E-2</v>
      </c>
      <c r="T60" s="71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5.5">
      <c r="A61" s="58">
        <v>46091</v>
      </c>
      <c r="B61" s="73" t="s">
        <v>84</v>
      </c>
      <c r="C61" s="60" t="s">
        <v>92</v>
      </c>
      <c r="D61" s="60" t="str">
        <f>IF(C61=" "," ",VLOOKUP(C61,'[1]Dữ Liệu'!$C$7:$D$134,2,FALSE))</f>
        <v>GUA</v>
      </c>
      <c r="E61" s="60" t="s">
        <v>86</v>
      </c>
      <c r="F61" s="63" t="s">
        <v>87</v>
      </c>
      <c r="G61" s="64" t="s">
        <v>91</v>
      </c>
      <c r="H61" s="65">
        <v>40</v>
      </c>
      <c r="I61" s="66">
        <f t="shared" si="0"/>
        <v>36</v>
      </c>
      <c r="J61" s="76">
        <f t="shared" si="1"/>
        <v>4</v>
      </c>
      <c r="K61" s="68"/>
      <c r="L61" s="66"/>
      <c r="M61" s="66"/>
      <c r="N61" s="66"/>
      <c r="O61" s="66">
        <v>1</v>
      </c>
      <c r="P61" s="66">
        <v>3</v>
      </c>
      <c r="Q61" s="69"/>
      <c r="R61" s="66"/>
      <c r="S61" s="70">
        <f t="shared" si="2"/>
        <v>0.1</v>
      </c>
      <c r="T61" s="71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5.5">
      <c r="A62" s="58">
        <v>46091</v>
      </c>
      <c r="B62" s="73" t="s">
        <v>84</v>
      </c>
      <c r="C62" s="60" t="s">
        <v>92</v>
      </c>
      <c r="D62" s="60" t="str">
        <f>IF(C62=" "," ",VLOOKUP(C62,'[1]Dữ Liệu'!$C$7:$D$134,2,FALSE))</f>
        <v>GUA</v>
      </c>
      <c r="E62" s="60" t="s">
        <v>86</v>
      </c>
      <c r="F62" s="63" t="s">
        <v>87</v>
      </c>
      <c r="G62" s="125" t="s">
        <v>88</v>
      </c>
      <c r="H62" s="65">
        <v>19</v>
      </c>
      <c r="I62" s="66">
        <f t="shared" si="0"/>
        <v>17</v>
      </c>
      <c r="J62" s="76">
        <f t="shared" si="1"/>
        <v>2</v>
      </c>
      <c r="K62" s="68"/>
      <c r="L62" s="66"/>
      <c r="M62" s="66"/>
      <c r="N62" s="66"/>
      <c r="O62" s="66">
        <v>1</v>
      </c>
      <c r="P62" s="66">
        <v>1</v>
      </c>
      <c r="Q62" s="69"/>
      <c r="R62" s="66"/>
      <c r="S62" s="70">
        <f t="shared" si="2"/>
        <v>0.10526315789473684</v>
      </c>
      <c r="T62" s="71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5.5">
      <c r="A63" s="58">
        <v>46091</v>
      </c>
      <c r="B63" s="73" t="s">
        <v>84</v>
      </c>
      <c r="C63" s="60" t="s">
        <v>92</v>
      </c>
      <c r="D63" s="60" t="str">
        <f>IF(C63=" "," ",VLOOKUP(C63,'[1]Dữ Liệu'!$C$7:$D$134,2,FALSE))</f>
        <v>GUA</v>
      </c>
      <c r="E63" s="60" t="s">
        <v>86</v>
      </c>
      <c r="F63" s="63" t="s">
        <v>87</v>
      </c>
      <c r="G63" s="125" t="s">
        <v>89</v>
      </c>
      <c r="H63" s="65">
        <v>24</v>
      </c>
      <c r="I63" s="66">
        <f t="shared" si="0"/>
        <v>22</v>
      </c>
      <c r="J63" s="76">
        <f t="shared" si="1"/>
        <v>2</v>
      </c>
      <c r="K63" s="68"/>
      <c r="L63" s="66"/>
      <c r="M63" s="66"/>
      <c r="N63" s="66"/>
      <c r="O63" s="66"/>
      <c r="P63" s="66">
        <v>2</v>
      </c>
      <c r="Q63" s="69"/>
      <c r="R63" s="66"/>
      <c r="S63" s="70">
        <f t="shared" si="2"/>
        <v>8.3333333333333329E-2</v>
      </c>
      <c r="T63" s="71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5.5">
      <c r="A64" s="58">
        <v>46091</v>
      </c>
      <c r="B64" s="73" t="s">
        <v>84</v>
      </c>
      <c r="C64" s="60" t="s">
        <v>92</v>
      </c>
      <c r="D64" s="60" t="str">
        <f>IF(C64=" "," ",VLOOKUP(C64,'[1]Dữ Liệu'!$C$7:$D$134,2,FALSE))</f>
        <v>GUA</v>
      </c>
      <c r="E64" s="60" t="s">
        <v>86</v>
      </c>
      <c r="F64" s="63" t="s">
        <v>87</v>
      </c>
      <c r="G64" s="64" t="s">
        <v>103</v>
      </c>
      <c r="H64" s="65">
        <v>30</v>
      </c>
      <c r="I64" s="66">
        <f t="shared" si="0"/>
        <v>27</v>
      </c>
      <c r="J64" s="76">
        <f t="shared" si="1"/>
        <v>3</v>
      </c>
      <c r="K64" s="68"/>
      <c r="L64" s="66"/>
      <c r="M64" s="66"/>
      <c r="N64" s="66"/>
      <c r="O64" s="66">
        <v>1</v>
      </c>
      <c r="P64" s="66">
        <v>2</v>
      </c>
      <c r="Q64" s="69"/>
      <c r="R64" s="66"/>
      <c r="S64" s="70">
        <f t="shared" si="2"/>
        <v>0.1</v>
      </c>
      <c r="T64" s="71"/>
      <c r="U64" s="72"/>
      <c r="V64" s="72"/>
      <c r="W64" s="72"/>
      <c r="X64" s="72"/>
      <c r="Y64" s="72"/>
      <c r="Z64" s="72"/>
      <c r="AA64" s="72"/>
      <c r="AB64" s="72"/>
      <c r="AC64" s="72"/>
    </row>
    <row r="65" spans="1:30" ht="15.5">
      <c r="A65" s="58">
        <v>46091</v>
      </c>
      <c r="B65" s="73" t="s">
        <v>84</v>
      </c>
      <c r="C65" s="60" t="s">
        <v>92</v>
      </c>
      <c r="D65" s="60" t="str">
        <f>IF(C65=" "," ",VLOOKUP(C65,'[1]Dữ Liệu'!$C$7:$D$134,2,FALSE))</f>
        <v>GUA</v>
      </c>
      <c r="E65" s="60" t="s">
        <v>86</v>
      </c>
      <c r="F65" s="63" t="s">
        <v>87</v>
      </c>
      <c r="G65" s="64" t="s">
        <v>99</v>
      </c>
      <c r="H65" s="65">
        <v>20</v>
      </c>
      <c r="I65" s="66">
        <f t="shared" si="0"/>
        <v>19</v>
      </c>
      <c r="J65" s="76">
        <f t="shared" si="1"/>
        <v>1</v>
      </c>
      <c r="K65" s="68"/>
      <c r="L65" s="66"/>
      <c r="M65" s="66"/>
      <c r="N65" s="66"/>
      <c r="O65" s="66"/>
      <c r="P65" s="66">
        <v>1</v>
      </c>
      <c r="Q65" s="69"/>
      <c r="R65" s="66"/>
      <c r="S65" s="70">
        <f t="shared" si="2"/>
        <v>0.05</v>
      </c>
      <c r="T65" s="71"/>
      <c r="U65" s="72"/>
      <c r="V65" s="72"/>
      <c r="W65" s="72"/>
      <c r="X65" s="72"/>
      <c r="Y65" s="72"/>
      <c r="Z65" s="72"/>
      <c r="AA65" s="72"/>
      <c r="AB65" s="72"/>
      <c r="AC65" s="72"/>
    </row>
    <row r="66" spans="1:30" ht="15.5">
      <c r="A66" s="58">
        <v>46091</v>
      </c>
      <c r="B66" s="73" t="s">
        <v>84</v>
      </c>
      <c r="C66" s="60" t="s">
        <v>92</v>
      </c>
      <c r="D66" s="60" t="str">
        <f>IF(C66=" "," ",VLOOKUP(C66,'[1]Dữ Liệu'!$C$7:$D$134,2,FALSE))</f>
        <v>GUA</v>
      </c>
      <c r="E66" s="60" t="s">
        <v>86</v>
      </c>
      <c r="F66" s="63" t="s">
        <v>87</v>
      </c>
      <c r="G66" s="64" t="s">
        <v>101</v>
      </c>
      <c r="H66" s="65">
        <v>10</v>
      </c>
      <c r="I66" s="66">
        <f t="shared" si="0"/>
        <v>9</v>
      </c>
      <c r="J66" s="76">
        <f t="shared" si="1"/>
        <v>1</v>
      </c>
      <c r="K66" s="68"/>
      <c r="L66" s="66"/>
      <c r="M66" s="66"/>
      <c r="N66" s="66"/>
      <c r="O66" s="66"/>
      <c r="P66" s="66">
        <v>1</v>
      </c>
      <c r="Q66" s="69"/>
      <c r="R66" s="66"/>
      <c r="S66" s="70">
        <f t="shared" si="2"/>
        <v>0.1</v>
      </c>
      <c r="T66" s="71"/>
      <c r="U66" s="72"/>
      <c r="V66" s="72"/>
      <c r="W66" s="72"/>
      <c r="X66" s="72"/>
      <c r="Y66" s="72"/>
      <c r="Z66" s="72"/>
      <c r="AA66" s="72"/>
      <c r="AB66" s="72"/>
      <c r="AC66" s="72"/>
    </row>
    <row r="67" spans="1:30" ht="15.5">
      <c r="A67" s="58">
        <v>46091</v>
      </c>
      <c r="B67" s="73" t="s">
        <v>97</v>
      </c>
      <c r="C67" s="60" t="s">
        <v>92</v>
      </c>
      <c r="D67" s="60" t="str">
        <f>IF(C67=" "," ",VLOOKUP(C67,'[1]Dữ Liệu'!$C$7:$D$134,2,FALSE))</f>
        <v>GUA</v>
      </c>
      <c r="E67" s="60" t="s">
        <v>86</v>
      </c>
      <c r="F67" s="63" t="s">
        <v>87</v>
      </c>
      <c r="G67" s="64" t="s">
        <v>100</v>
      </c>
      <c r="H67" s="65">
        <v>2</v>
      </c>
      <c r="I67" s="66">
        <f t="shared" si="0"/>
        <v>2</v>
      </c>
      <c r="J67" s="76">
        <f t="shared" si="1"/>
        <v>0</v>
      </c>
      <c r="K67" s="68"/>
      <c r="L67" s="66"/>
      <c r="M67" s="66"/>
      <c r="N67" s="66"/>
      <c r="O67" s="66"/>
      <c r="P67" s="66"/>
      <c r="Q67" s="69"/>
      <c r="R67" s="66"/>
      <c r="S67" s="70">
        <f t="shared" si="2"/>
        <v>0</v>
      </c>
      <c r="T67" s="71"/>
      <c r="U67" s="72"/>
      <c r="V67" s="72"/>
      <c r="W67" s="72"/>
      <c r="X67" s="72"/>
      <c r="Y67" s="72"/>
      <c r="Z67" s="72"/>
      <c r="AA67" s="72"/>
      <c r="AB67" s="72"/>
      <c r="AC67" s="72"/>
    </row>
    <row r="68" spans="1:30" ht="15.5">
      <c r="A68" s="58">
        <v>46091</v>
      </c>
      <c r="B68" s="73" t="s">
        <v>97</v>
      </c>
      <c r="C68" s="60" t="s">
        <v>92</v>
      </c>
      <c r="D68" s="60" t="str">
        <f>IF(C68=" "," ",VLOOKUP(C68,'[1]Dữ Liệu'!$C$7:$D$134,2,FALSE))</f>
        <v>GUA</v>
      </c>
      <c r="E68" s="60" t="s">
        <v>86</v>
      </c>
      <c r="F68" s="63" t="s">
        <v>87</v>
      </c>
      <c r="G68" s="64" t="s">
        <v>94</v>
      </c>
      <c r="H68" s="65">
        <v>6</v>
      </c>
      <c r="I68" s="66">
        <f t="shared" si="0"/>
        <v>6</v>
      </c>
      <c r="J68" s="76">
        <f t="shared" si="1"/>
        <v>0</v>
      </c>
      <c r="K68" s="68"/>
      <c r="L68" s="66"/>
      <c r="M68" s="66"/>
      <c r="N68" s="66"/>
      <c r="O68" s="66"/>
      <c r="P68" s="66"/>
      <c r="Q68" s="69"/>
      <c r="R68" s="66"/>
      <c r="S68" s="70">
        <f t="shared" si="2"/>
        <v>0</v>
      </c>
      <c r="T68" s="71"/>
      <c r="U68" s="72"/>
      <c r="V68" s="72"/>
      <c r="W68" s="72"/>
      <c r="X68" s="72"/>
      <c r="Y68" s="72"/>
      <c r="Z68" s="72"/>
      <c r="AA68" s="72"/>
      <c r="AB68" s="72"/>
      <c r="AC68" s="72"/>
    </row>
    <row r="69" spans="1:30" ht="15.5">
      <c r="A69" s="58">
        <v>46091</v>
      </c>
      <c r="B69" s="73" t="s">
        <v>97</v>
      </c>
      <c r="C69" s="60" t="s">
        <v>92</v>
      </c>
      <c r="D69" s="60" t="str">
        <f>IF(C69=" "," ",VLOOKUP(C69,'[1]Dữ Liệu'!$C$7:$D$134,2,FALSE))</f>
        <v>GUA</v>
      </c>
      <c r="E69" s="60" t="s">
        <v>86</v>
      </c>
      <c r="F69" s="63" t="s">
        <v>87</v>
      </c>
      <c r="G69" s="64" t="s">
        <v>91</v>
      </c>
      <c r="H69" s="65">
        <v>4</v>
      </c>
      <c r="I69" s="66">
        <f t="shared" ref="I69:I146" si="3">H69-J69</f>
        <v>4</v>
      </c>
      <c r="J69" s="76">
        <f t="shared" ref="J69:J132" si="4">SUM(K69:Q69)</f>
        <v>0</v>
      </c>
      <c r="K69" s="68"/>
      <c r="L69" s="66"/>
      <c r="M69" s="66"/>
      <c r="N69" s="66"/>
      <c r="O69" s="66"/>
      <c r="P69" s="66"/>
      <c r="Q69" s="69"/>
      <c r="R69" s="66"/>
      <c r="S69" s="70">
        <f t="shared" ref="S69:S146" si="5">J69/H69</f>
        <v>0</v>
      </c>
      <c r="T69" s="71"/>
      <c r="U69" s="72"/>
      <c r="V69" s="72"/>
      <c r="W69" s="72"/>
      <c r="X69" s="72"/>
      <c r="Y69" s="72"/>
      <c r="Z69" s="72"/>
      <c r="AA69" s="72"/>
      <c r="AB69" s="72"/>
      <c r="AC69" s="72"/>
    </row>
    <row r="70" spans="1:30" ht="15.5">
      <c r="A70" s="58">
        <v>46091</v>
      </c>
      <c r="B70" s="73" t="s">
        <v>97</v>
      </c>
      <c r="C70" s="60" t="s">
        <v>92</v>
      </c>
      <c r="D70" s="60" t="str">
        <f>IF(C70=" "," ",VLOOKUP(C70,'[1]Dữ Liệu'!$C$7:$D$134,2,FALSE))</f>
        <v>GUA</v>
      </c>
      <c r="E70" s="60" t="s">
        <v>86</v>
      </c>
      <c r="F70" s="63" t="s">
        <v>87</v>
      </c>
      <c r="G70" s="125" t="s">
        <v>88</v>
      </c>
      <c r="H70" s="65">
        <v>2</v>
      </c>
      <c r="I70" s="66">
        <f t="shared" si="3"/>
        <v>2</v>
      </c>
      <c r="J70" s="67">
        <f t="shared" si="4"/>
        <v>0</v>
      </c>
      <c r="K70" s="68"/>
      <c r="L70" s="66"/>
      <c r="M70" s="66"/>
      <c r="N70" s="66"/>
      <c r="O70" s="66"/>
      <c r="P70" s="66"/>
      <c r="Q70" s="69"/>
      <c r="R70" s="66"/>
      <c r="S70" s="70">
        <f t="shared" si="5"/>
        <v>0</v>
      </c>
      <c r="T70" s="71"/>
      <c r="U70" s="72"/>
      <c r="V70" s="72"/>
      <c r="W70" s="72"/>
      <c r="X70" s="72"/>
      <c r="Y70" s="72"/>
      <c r="Z70" s="72"/>
      <c r="AA70" s="72"/>
      <c r="AB70" s="72"/>
      <c r="AC70" s="72"/>
    </row>
    <row r="71" spans="1:30" ht="15.5">
      <c r="A71" s="58">
        <v>46091</v>
      </c>
      <c r="B71" s="73" t="s">
        <v>97</v>
      </c>
      <c r="C71" s="60" t="s">
        <v>92</v>
      </c>
      <c r="D71" s="60" t="str">
        <f>IF(C71=" "," ",VLOOKUP(C71,'[1]Dữ Liệu'!$C$7:$D$134,2,FALSE))</f>
        <v>GUA</v>
      </c>
      <c r="E71" s="60" t="s">
        <v>86</v>
      </c>
      <c r="F71" s="63" t="s">
        <v>87</v>
      </c>
      <c r="G71" s="125" t="s">
        <v>89</v>
      </c>
      <c r="H71" s="65">
        <v>2</v>
      </c>
      <c r="I71" s="66">
        <f t="shared" si="3"/>
        <v>2</v>
      </c>
      <c r="J71" s="76">
        <f t="shared" si="4"/>
        <v>0</v>
      </c>
      <c r="K71" s="68"/>
      <c r="L71" s="66"/>
      <c r="M71" s="66"/>
      <c r="N71" s="66"/>
      <c r="O71" s="66"/>
      <c r="P71" s="66"/>
      <c r="Q71" s="69"/>
      <c r="R71" s="66"/>
      <c r="S71" s="70">
        <f t="shared" si="5"/>
        <v>0</v>
      </c>
      <c r="T71" s="71"/>
      <c r="U71" s="72"/>
      <c r="V71" s="72"/>
      <c r="W71" s="72"/>
      <c r="X71" s="72"/>
      <c r="Y71" s="72"/>
      <c r="Z71" s="72"/>
      <c r="AA71" s="72"/>
      <c r="AB71" s="72"/>
      <c r="AC71" s="72"/>
    </row>
    <row r="72" spans="1:30" ht="15.5">
      <c r="A72" s="58">
        <v>46091</v>
      </c>
      <c r="B72" s="73" t="s">
        <v>97</v>
      </c>
      <c r="C72" s="60" t="s">
        <v>92</v>
      </c>
      <c r="D72" s="60" t="str">
        <f>IF(C72=" "," ",VLOOKUP(C72,'[1]Dữ Liệu'!$C$7:$D$134,2,FALSE))</f>
        <v>GUA</v>
      </c>
      <c r="E72" s="60" t="s">
        <v>86</v>
      </c>
      <c r="F72" s="63" t="s">
        <v>87</v>
      </c>
      <c r="G72" s="64" t="s">
        <v>103</v>
      </c>
      <c r="H72" s="65">
        <v>3</v>
      </c>
      <c r="I72" s="66">
        <f t="shared" si="3"/>
        <v>3</v>
      </c>
      <c r="J72" s="76">
        <f t="shared" si="4"/>
        <v>0</v>
      </c>
      <c r="K72" s="68"/>
      <c r="L72" s="66"/>
      <c r="M72" s="66"/>
      <c r="N72" s="66"/>
      <c r="O72" s="79"/>
      <c r="P72" s="66"/>
      <c r="Q72" s="69"/>
      <c r="R72" s="66"/>
      <c r="S72" s="70">
        <f t="shared" si="5"/>
        <v>0</v>
      </c>
      <c r="T72" s="71"/>
      <c r="U72" s="72"/>
      <c r="V72" s="72"/>
      <c r="W72" s="72"/>
      <c r="X72" s="72"/>
      <c r="Y72" s="72"/>
      <c r="Z72" s="72"/>
      <c r="AA72" s="72"/>
      <c r="AB72" s="72"/>
      <c r="AC72" s="72"/>
    </row>
    <row r="73" spans="1:30" ht="15.5">
      <c r="A73" s="58">
        <v>46091</v>
      </c>
      <c r="B73" s="73" t="s">
        <v>97</v>
      </c>
      <c r="C73" s="60" t="s">
        <v>92</v>
      </c>
      <c r="D73" s="60" t="str">
        <f>IF(C73=" "," ",VLOOKUP(C73,'[1]Dữ Liệu'!$C$7:$D$134,2,FALSE))</f>
        <v>GUA</v>
      </c>
      <c r="E73" s="60" t="s">
        <v>86</v>
      </c>
      <c r="F73" s="63" t="s">
        <v>87</v>
      </c>
      <c r="G73" s="64" t="s">
        <v>99</v>
      </c>
      <c r="H73" s="65">
        <v>1</v>
      </c>
      <c r="I73" s="66">
        <f t="shared" si="3"/>
        <v>1</v>
      </c>
      <c r="J73" s="76">
        <f t="shared" si="4"/>
        <v>0</v>
      </c>
      <c r="K73" s="68"/>
      <c r="L73" s="66"/>
      <c r="M73" s="66"/>
      <c r="N73" s="66"/>
      <c r="O73" s="66"/>
      <c r="P73" s="66"/>
      <c r="Q73" s="69"/>
      <c r="R73" s="66"/>
      <c r="S73" s="70">
        <f t="shared" si="5"/>
        <v>0</v>
      </c>
      <c r="T73" s="71"/>
      <c r="U73" s="72"/>
      <c r="V73" s="72"/>
      <c r="W73" s="72"/>
      <c r="X73" s="72"/>
      <c r="Y73" s="72"/>
      <c r="Z73" s="72"/>
      <c r="AA73" s="72"/>
      <c r="AB73" s="72"/>
      <c r="AC73" s="72"/>
    </row>
    <row r="74" spans="1:30" ht="16" thickBot="1">
      <c r="A74" s="58">
        <v>46091</v>
      </c>
      <c r="B74" s="73" t="s">
        <v>97</v>
      </c>
      <c r="C74" s="62" t="s">
        <v>92</v>
      </c>
      <c r="D74" s="60" t="str">
        <f>IF(C74=" "," ",VLOOKUP(C74,'[1]Dữ Liệu'!$C$7:$D$134,2,FALSE))</f>
        <v>GUA</v>
      </c>
      <c r="E74" s="62" t="s">
        <v>86</v>
      </c>
      <c r="F74" s="127" t="s">
        <v>87</v>
      </c>
      <c r="G74" s="64" t="s">
        <v>101</v>
      </c>
      <c r="H74" s="65">
        <v>1</v>
      </c>
      <c r="I74" s="66">
        <f t="shared" si="3"/>
        <v>1</v>
      </c>
      <c r="J74" s="76">
        <f t="shared" si="4"/>
        <v>0</v>
      </c>
      <c r="K74" s="68"/>
      <c r="L74" s="66"/>
      <c r="M74" s="66"/>
      <c r="N74" s="66"/>
      <c r="O74" s="79"/>
      <c r="P74" s="66"/>
      <c r="Q74" s="69"/>
      <c r="R74" s="66"/>
      <c r="S74" s="70">
        <f t="shared" si="5"/>
        <v>0</v>
      </c>
      <c r="T74" s="71"/>
      <c r="U74" s="72"/>
      <c r="V74" s="72"/>
      <c r="W74" s="72"/>
      <c r="X74" s="72"/>
      <c r="Y74" s="72"/>
      <c r="Z74" s="72"/>
      <c r="AA74" s="72"/>
      <c r="AB74" s="72"/>
      <c r="AC74" s="72"/>
    </row>
    <row r="75" spans="1:30" ht="15.5">
      <c r="A75" s="58">
        <v>46093</v>
      </c>
      <c r="B75" s="73" t="s">
        <v>84</v>
      </c>
      <c r="C75" s="60" t="s">
        <v>104</v>
      </c>
      <c r="D75" s="60" t="str">
        <f>IF(C75=" "," ",VLOOKUP(C75,'[1]Dữ Liệu'!$C$7:$D$134,2,FALSE))</f>
        <v>GUA</v>
      </c>
      <c r="E75" s="62" t="s">
        <v>86</v>
      </c>
      <c r="F75" s="128" t="s">
        <v>87</v>
      </c>
      <c r="G75" s="129" t="s">
        <v>94</v>
      </c>
      <c r="H75" s="65">
        <v>33</v>
      </c>
      <c r="I75" s="66">
        <f t="shared" si="3"/>
        <v>30</v>
      </c>
      <c r="J75" s="76">
        <f t="shared" si="4"/>
        <v>3</v>
      </c>
      <c r="K75" s="68"/>
      <c r="L75" s="66"/>
      <c r="M75" s="66">
        <v>1</v>
      </c>
      <c r="N75" s="66"/>
      <c r="O75" s="66">
        <v>1</v>
      </c>
      <c r="P75" s="66">
        <v>1</v>
      </c>
      <c r="Q75" s="69"/>
      <c r="R75" s="66"/>
      <c r="S75" s="70">
        <f t="shared" si="5"/>
        <v>9.0909090909090912E-2</v>
      </c>
      <c r="T75" s="71"/>
      <c r="U75" s="72"/>
      <c r="V75" s="57">
        <v>4</v>
      </c>
      <c r="W75" s="57">
        <v>1.5</v>
      </c>
      <c r="X75" s="72"/>
      <c r="Y75" s="72">
        <v>1</v>
      </c>
      <c r="Z75" s="72"/>
      <c r="AA75" s="72"/>
      <c r="AB75" s="72"/>
      <c r="AC75" s="72"/>
      <c r="AD75" t="s">
        <v>110</v>
      </c>
    </row>
    <row r="76" spans="1:30" ht="15.5">
      <c r="A76" s="58">
        <v>46093</v>
      </c>
      <c r="B76" s="73" t="s">
        <v>84</v>
      </c>
      <c r="C76" s="60" t="s">
        <v>104</v>
      </c>
      <c r="D76" s="60" t="str">
        <f>IF(C76=" "," ",VLOOKUP(C76,'[1]Dữ Liệu'!$C$7:$D$134,2,FALSE))</f>
        <v>GUA</v>
      </c>
      <c r="E76" s="62" t="s">
        <v>86</v>
      </c>
      <c r="F76" s="128" t="s">
        <v>87</v>
      </c>
      <c r="G76" s="129" t="s">
        <v>91</v>
      </c>
      <c r="H76" s="65">
        <v>192</v>
      </c>
      <c r="I76" s="66">
        <f t="shared" si="3"/>
        <v>165</v>
      </c>
      <c r="J76" s="76">
        <f t="shared" si="4"/>
        <v>27</v>
      </c>
      <c r="K76" s="68"/>
      <c r="L76" s="66"/>
      <c r="M76" s="66">
        <v>5</v>
      </c>
      <c r="N76" s="66"/>
      <c r="O76" s="66">
        <v>14</v>
      </c>
      <c r="P76" s="66">
        <v>8</v>
      </c>
      <c r="Q76" s="69"/>
      <c r="R76" s="66"/>
      <c r="S76" s="70">
        <f t="shared" si="5"/>
        <v>0.140625</v>
      </c>
      <c r="T76" s="71"/>
      <c r="U76" s="72"/>
      <c r="V76" s="72"/>
      <c r="W76" s="72"/>
      <c r="X76" s="72"/>
      <c r="Y76" s="72"/>
      <c r="Z76" s="72"/>
      <c r="AA76" s="72"/>
      <c r="AB76" s="72"/>
      <c r="AC76" s="72"/>
    </row>
    <row r="77" spans="1:30" ht="15.5">
      <c r="A77" s="58">
        <v>46093</v>
      </c>
      <c r="B77" s="58" t="s">
        <v>84</v>
      </c>
      <c r="C77" s="60" t="s">
        <v>104</v>
      </c>
      <c r="D77" s="60" t="str">
        <f>IF(C77=" "," ",VLOOKUP(C77,'[1]Dữ Liệu'!$C$7:$D$134,2,FALSE))</f>
        <v>GUA</v>
      </c>
      <c r="E77" s="62" t="s">
        <v>86</v>
      </c>
      <c r="F77" s="128" t="s">
        <v>87</v>
      </c>
      <c r="G77" s="129" t="s">
        <v>88</v>
      </c>
      <c r="H77" s="65">
        <v>143</v>
      </c>
      <c r="I77" s="66">
        <f t="shared" si="3"/>
        <v>131</v>
      </c>
      <c r="J77" s="76">
        <f t="shared" si="4"/>
        <v>12</v>
      </c>
      <c r="K77" s="68"/>
      <c r="L77" s="66"/>
      <c r="M77" s="66">
        <v>2</v>
      </c>
      <c r="N77" s="66"/>
      <c r="O77" s="66">
        <v>7</v>
      </c>
      <c r="P77" s="66">
        <v>3</v>
      </c>
      <c r="Q77" s="69"/>
      <c r="R77" s="66"/>
      <c r="S77" s="70">
        <f t="shared" si="5"/>
        <v>8.3916083916083919E-2</v>
      </c>
      <c r="T77" s="71"/>
      <c r="U77" s="72"/>
      <c r="V77" s="72"/>
      <c r="W77" s="72"/>
      <c r="X77" s="72"/>
      <c r="Y77" s="72"/>
      <c r="Z77" s="72"/>
      <c r="AA77" s="72"/>
      <c r="AB77" s="72"/>
      <c r="AC77" s="72"/>
    </row>
    <row r="78" spans="1:30" ht="15.5">
      <c r="A78" s="58">
        <v>46093</v>
      </c>
      <c r="B78" s="58" t="s">
        <v>84</v>
      </c>
      <c r="C78" s="60" t="s">
        <v>104</v>
      </c>
      <c r="D78" s="60" t="str">
        <f>IF(C78=" "," ",VLOOKUP(C78,'[1]Dữ Liệu'!$C$7:$D$134,2,FALSE))</f>
        <v>GUA</v>
      </c>
      <c r="E78" s="62" t="s">
        <v>86</v>
      </c>
      <c r="F78" s="128" t="s">
        <v>87</v>
      </c>
      <c r="G78" s="130" t="s">
        <v>89</v>
      </c>
      <c r="H78" s="65">
        <v>35</v>
      </c>
      <c r="I78" s="66">
        <f t="shared" si="3"/>
        <v>30</v>
      </c>
      <c r="J78" s="76">
        <f t="shared" si="4"/>
        <v>5</v>
      </c>
      <c r="K78" s="68"/>
      <c r="L78" s="66"/>
      <c r="M78" s="66">
        <v>1</v>
      </c>
      <c r="N78" s="66"/>
      <c r="O78" s="66">
        <v>1</v>
      </c>
      <c r="P78" s="66">
        <v>3</v>
      </c>
      <c r="Q78" s="69"/>
      <c r="R78" s="66"/>
      <c r="S78" s="70">
        <f t="shared" si="5"/>
        <v>0.14285714285714285</v>
      </c>
      <c r="T78" s="71"/>
      <c r="U78" s="72"/>
      <c r="V78" s="72"/>
      <c r="W78" s="72"/>
      <c r="X78" s="72"/>
      <c r="Y78" s="72"/>
      <c r="Z78" s="72"/>
      <c r="AA78" s="72"/>
      <c r="AB78" s="72"/>
      <c r="AC78" s="72"/>
    </row>
    <row r="79" spans="1:30" ht="15.5">
      <c r="A79" s="58">
        <v>46093</v>
      </c>
      <c r="B79" s="58" t="s">
        <v>97</v>
      </c>
      <c r="C79" s="60" t="s">
        <v>104</v>
      </c>
      <c r="D79" s="60" t="str">
        <f>IF(C79=" "," ",VLOOKUP(C79,'[1]Dữ Liệu'!$C$7:$D$134,2,FALSE))</f>
        <v>GUA</v>
      </c>
      <c r="E79" s="62" t="s">
        <v>86</v>
      </c>
      <c r="F79" s="128" t="s">
        <v>87</v>
      </c>
      <c r="G79" s="131" t="s">
        <v>94</v>
      </c>
      <c r="H79" s="65">
        <v>3</v>
      </c>
      <c r="I79" s="66">
        <f t="shared" si="3"/>
        <v>3</v>
      </c>
      <c r="J79" s="76">
        <f t="shared" si="4"/>
        <v>0</v>
      </c>
      <c r="K79" s="68"/>
      <c r="L79" s="66"/>
      <c r="M79" s="66"/>
      <c r="N79" s="66"/>
      <c r="O79" s="66"/>
      <c r="P79" s="66"/>
      <c r="Q79" s="69"/>
      <c r="R79" s="66"/>
      <c r="S79" s="70">
        <f t="shared" si="5"/>
        <v>0</v>
      </c>
      <c r="T79" s="71"/>
      <c r="U79" s="72"/>
      <c r="V79" s="72"/>
      <c r="W79" s="72"/>
      <c r="X79" s="72"/>
      <c r="Y79" s="72"/>
      <c r="Z79" s="72"/>
      <c r="AA79" s="72"/>
      <c r="AB79" s="72"/>
      <c r="AC79" s="72"/>
    </row>
    <row r="80" spans="1:30" ht="15.5">
      <c r="A80" s="58">
        <v>46093</v>
      </c>
      <c r="B80" s="58" t="s">
        <v>97</v>
      </c>
      <c r="C80" s="60" t="s">
        <v>104</v>
      </c>
      <c r="D80" s="60" t="str">
        <f>IF(C80=" "," ",VLOOKUP(C80,'[1]Dữ Liệu'!$C$7:$D$134,2,FALSE))</f>
        <v>GUA</v>
      </c>
      <c r="E80" s="62" t="s">
        <v>86</v>
      </c>
      <c r="F80" s="128" t="s">
        <v>87</v>
      </c>
      <c r="G80" s="129" t="s">
        <v>91</v>
      </c>
      <c r="H80" s="65">
        <v>27</v>
      </c>
      <c r="I80" s="66">
        <f t="shared" si="3"/>
        <v>27</v>
      </c>
      <c r="J80" s="76">
        <f t="shared" si="4"/>
        <v>0</v>
      </c>
      <c r="K80" s="68"/>
      <c r="L80" s="66"/>
      <c r="M80" s="66"/>
      <c r="N80" s="66"/>
      <c r="O80" s="66"/>
      <c r="P80" s="66"/>
      <c r="Q80" s="69"/>
      <c r="R80" s="66"/>
      <c r="S80" s="70">
        <f t="shared" si="5"/>
        <v>0</v>
      </c>
      <c r="T80" s="71"/>
      <c r="U80" s="72"/>
      <c r="V80" s="72"/>
      <c r="W80" s="72"/>
      <c r="X80" s="72"/>
      <c r="Y80" s="72"/>
      <c r="Z80" s="72"/>
      <c r="AA80" s="72"/>
      <c r="AB80" s="72"/>
      <c r="AC80" s="72"/>
    </row>
    <row r="81" spans="1:30" ht="15.5">
      <c r="A81" s="58">
        <v>46093</v>
      </c>
      <c r="B81" s="58" t="s">
        <v>97</v>
      </c>
      <c r="C81" s="60" t="s">
        <v>104</v>
      </c>
      <c r="D81" s="60" t="str">
        <f>IF(C81=" "," ",VLOOKUP(C81,'[1]Dữ Liệu'!$C$7:$D$134,2,FALSE))</f>
        <v>GUA</v>
      </c>
      <c r="E81" s="62" t="s">
        <v>86</v>
      </c>
      <c r="F81" s="128" t="s">
        <v>87</v>
      </c>
      <c r="G81" s="129" t="s">
        <v>88</v>
      </c>
      <c r="H81" s="65">
        <v>12</v>
      </c>
      <c r="I81" s="66">
        <f t="shared" si="3"/>
        <v>12</v>
      </c>
      <c r="J81" s="76">
        <f t="shared" si="4"/>
        <v>0</v>
      </c>
      <c r="K81" s="68"/>
      <c r="L81" s="66"/>
      <c r="M81" s="66"/>
      <c r="N81" s="66"/>
      <c r="O81" s="66"/>
      <c r="P81" s="66"/>
      <c r="Q81" s="69"/>
      <c r="R81" s="66"/>
      <c r="S81" s="70">
        <f t="shared" si="5"/>
        <v>0</v>
      </c>
      <c r="T81" s="71"/>
      <c r="U81" s="72"/>
      <c r="V81" s="72"/>
      <c r="W81" s="72"/>
      <c r="X81" s="72"/>
      <c r="Y81" s="72"/>
      <c r="Z81" s="72"/>
      <c r="AA81" s="72"/>
      <c r="AB81" s="72"/>
      <c r="AC81" s="72"/>
    </row>
    <row r="82" spans="1:30" ht="15.5">
      <c r="A82" s="58">
        <v>46093</v>
      </c>
      <c r="B82" s="58" t="s">
        <v>97</v>
      </c>
      <c r="C82" s="60" t="s">
        <v>104</v>
      </c>
      <c r="D82" s="60" t="str">
        <f>IF(C82=" "," ",VLOOKUP(C82,'[1]Dữ Liệu'!$C$7:$D$134,2,FALSE))</f>
        <v>GUA</v>
      </c>
      <c r="E82" s="62" t="s">
        <v>86</v>
      </c>
      <c r="F82" s="128" t="s">
        <v>87</v>
      </c>
      <c r="G82" s="131" t="s">
        <v>89</v>
      </c>
      <c r="H82" s="65">
        <v>5</v>
      </c>
      <c r="I82" s="66">
        <f t="shared" si="3"/>
        <v>5</v>
      </c>
      <c r="J82" s="76">
        <f t="shared" si="4"/>
        <v>0</v>
      </c>
      <c r="K82" s="68"/>
      <c r="L82" s="66"/>
      <c r="M82" s="66"/>
      <c r="N82" s="66"/>
      <c r="O82" s="66"/>
      <c r="P82" s="66"/>
      <c r="Q82" s="69"/>
      <c r="R82" s="66"/>
      <c r="S82" s="70">
        <f t="shared" si="5"/>
        <v>0</v>
      </c>
      <c r="T82" s="71"/>
      <c r="U82" s="72"/>
      <c r="V82" s="72"/>
      <c r="W82" s="72"/>
      <c r="X82" s="72"/>
      <c r="Y82" s="72"/>
      <c r="Z82" s="72"/>
      <c r="AA82" s="72"/>
      <c r="AB82" s="72"/>
      <c r="AC82" s="72"/>
    </row>
    <row r="83" spans="1:30" ht="15.5">
      <c r="A83" s="58">
        <v>46093</v>
      </c>
      <c r="B83" s="58" t="s">
        <v>84</v>
      </c>
      <c r="C83" s="60" t="s">
        <v>92</v>
      </c>
      <c r="D83" s="60" t="str">
        <f>IF(C83=" "," ",VLOOKUP(C83,'[1]Dữ Liệu'!$C$7:$D$134,2,FALSE))</f>
        <v>GUA</v>
      </c>
      <c r="E83" s="62" t="s">
        <v>86</v>
      </c>
      <c r="F83" s="128" t="s">
        <v>87</v>
      </c>
      <c r="G83" s="129" t="s">
        <v>94</v>
      </c>
      <c r="H83" s="65">
        <v>1</v>
      </c>
      <c r="I83" s="66">
        <f t="shared" si="3"/>
        <v>1</v>
      </c>
      <c r="J83" s="76">
        <f t="shared" si="4"/>
        <v>0</v>
      </c>
      <c r="K83" s="68"/>
      <c r="L83" s="66"/>
      <c r="M83" s="66"/>
      <c r="N83" s="66"/>
      <c r="O83" s="66"/>
      <c r="P83" s="66"/>
      <c r="Q83" s="69"/>
      <c r="R83" s="66"/>
      <c r="S83" s="70">
        <f t="shared" si="5"/>
        <v>0</v>
      </c>
      <c r="T83" s="71"/>
      <c r="U83" s="72"/>
      <c r="V83" s="72"/>
      <c r="W83" s="72"/>
      <c r="X83" s="72"/>
      <c r="Y83" s="72"/>
      <c r="Z83" s="72"/>
      <c r="AA83" s="72"/>
      <c r="AB83" s="72"/>
      <c r="AC83" s="72"/>
    </row>
    <row r="84" spans="1:30" ht="15.5">
      <c r="A84" s="58">
        <v>46093</v>
      </c>
      <c r="B84" s="58" t="s">
        <v>84</v>
      </c>
      <c r="C84" s="60" t="s">
        <v>92</v>
      </c>
      <c r="D84" s="60" t="str">
        <f>IF(C84=" "," ",VLOOKUP(C84,'[1]Dữ Liệu'!$C$7:$D$134,2,FALSE))</f>
        <v>GUA</v>
      </c>
      <c r="E84" s="62" t="s">
        <v>86</v>
      </c>
      <c r="F84" s="128" t="s">
        <v>87</v>
      </c>
      <c r="G84" s="129" t="s">
        <v>88</v>
      </c>
      <c r="H84" s="65">
        <v>2</v>
      </c>
      <c r="I84" s="66">
        <f t="shared" si="3"/>
        <v>2</v>
      </c>
      <c r="J84" s="76">
        <f t="shared" si="4"/>
        <v>0</v>
      </c>
      <c r="K84" s="68"/>
      <c r="L84" s="66"/>
      <c r="M84" s="66"/>
      <c r="N84" s="66"/>
      <c r="O84" s="66"/>
      <c r="P84" s="66"/>
      <c r="Q84" s="69"/>
      <c r="R84" s="66"/>
      <c r="S84" s="70">
        <f t="shared" si="5"/>
        <v>0</v>
      </c>
      <c r="T84" s="71"/>
      <c r="U84" s="72"/>
      <c r="V84" s="72"/>
      <c r="W84" s="72"/>
      <c r="X84" s="72"/>
      <c r="Y84" s="72"/>
      <c r="Z84" s="72"/>
      <c r="AA84" s="72"/>
      <c r="AB84" s="72"/>
      <c r="AC84" s="72"/>
    </row>
    <row r="85" spans="1:30" ht="15.5">
      <c r="A85" s="58">
        <v>46093</v>
      </c>
      <c r="B85" s="58" t="s">
        <v>84</v>
      </c>
      <c r="C85" s="60" t="s">
        <v>92</v>
      </c>
      <c r="D85" s="60" t="str">
        <f>IF(C85=" "," ",VLOOKUP(C85,'[1]Dữ Liệu'!$C$7:$D$134,2,FALSE))</f>
        <v>GUA</v>
      </c>
      <c r="E85" s="62" t="s">
        <v>86</v>
      </c>
      <c r="F85" s="128" t="s">
        <v>87</v>
      </c>
      <c r="G85" s="129" t="s">
        <v>89</v>
      </c>
      <c r="H85" s="65">
        <v>1</v>
      </c>
      <c r="I85" s="66">
        <f t="shared" si="3"/>
        <v>1</v>
      </c>
      <c r="J85" s="76">
        <f t="shared" si="4"/>
        <v>0</v>
      </c>
      <c r="K85" s="68"/>
      <c r="L85" s="66"/>
      <c r="M85" s="66"/>
      <c r="N85" s="66"/>
      <c r="O85" s="66"/>
      <c r="P85" s="66"/>
      <c r="Q85" s="69"/>
      <c r="R85" s="66"/>
      <c r="S85" s="70">
        <f t="shared" si="5"/>
        <v>0</v>
      </c>
      <c r="T85" s="71"/>
      <c r="U85" s="72"/>
      <c r="V85" s="72"/>
      <c r="W85" s="72"/>
      <c r="X85" s="72"/>
      <c r="Y85" s="72"/>
      <c r="Z85" s="72"/>
      <c r="AA85" s="72"/>
      <c r="AB85" s="72"/>
      <c r="AC85" s="72"/>
    </row>
    <row r="86" spans="1:30" ht="15.5">
      <c r="A86" s="58">
        <v>46094</v>
      </c>
      <c r="B86" s="58" t="s">
        <v>84</v>
      </c>
      <c r="C86" s="60" t="s">
        <v>105</v>
      </c>
      <c r="D86" s="60" t="str">
        <f>IF(C86=" "," ",VLOOKUP(C86,'[1]Dữ Liệu'!$C$7:$D$134,2,FALSE))</f>
        <v>GUA</v>
      </c>
      <c r="E86" s="62" t="s">
        <v>86</v>
      </c>
      <c r="F86" s="128" t="s">
        <v>87</v>
      </c>
      <c r="G86" s="129" t="s">
        <v>91</v>
      </c>
      <c r="H86" s="65">
        <v>419</v>
      </c>
      <c r="I86" s="66">
        <f t="shared" si="3"/>
        <v>367</v>
      </c>
      <c r="J86" s="76">
        <f t="shared" si="4"/>
        <v>52</v>
      </c>
      <c r="K86" s="68">
        <v>2</v>
      </c>
      <c r="L86" s="66"/>
      <c r="M86" s="66">
        <v>7</v>
      </c>
      <c r="N86" s="66">
        <v>5</v>
      </c>
      <c r="O86" s="66">
        <v>29</v>
      </c>
      <c r="P86" s="66">
        <v>9</v>
      </c>
      <c r="Q86" s="69"/>
      <c r="R86" s="66"/>
      <c r="S86" s="70">
        <f t="shared" si="5"/>
        <v>0.12410501193317422</v>
      </c>
      <c r="T86" s="71"/>
      <c r="U86" s="72"/>
      <c r="V86" s="72"/>
      <c r="W86" s="72"/>
      <c r="X86" s="72"/>
      <c r="Y86" s="72"/>
      <c r="Z86" s="72"/>
      <c r="AA86" s="72"/>
      <c r="AB86" s="72"/>
      <c r="AC86" s="72"/>
    </row>
    <row r="87" spans="1:30" ht="16" thickBot="1">
      <c r="A87" s="58">
        <v>46094</v>
      </c>
      <c r="B87" s="58" t="s">
        <v>97</v>
      </c>
      <c r="C87" s="60" t="s">
        <v>105</v>
      </c>
      <c r="D87" s="60" t="str">
        <f>IF(C87=" "," ",VLOOKUP(C87,'[1]Dữ Liệu'!$C$7:$D$134,2,FALSE))</f>
        <v>GUA</v>
      </c>
      <c r="E87" s="62" t="s">
        <v>86</v>
      </c>
      <c r="F87" s="128" t="s">
        <v>87</v>
      </c>
      <c r="G87" s="129" t="s">
        <v>91</v>
      </c>
      <c r="H87" s="65">
        <v>52</v>
      </c>
      <c r="I87" s="66">
        <f t="shared" si="3"/>
        <v>52</v>
      </c>
      <c r="J87" s="76">
        <f t="shared" si="4"/>
        <v>0</v>
      </c>
      <c r="K87" s="68"/>
      <c r="L87" s="66"/>
      <c r="M87" s="66"/>
      <c r="N87" s="66"/>
      <c r="O87" s="66"/>
      <c r="P87" s="66"/>
      <c r="Q87" s="69"/>
      <c r="R87" s="66"/>
      <c r="S87" s="70">
        <f t="shared" si="5"/>
        <v>0</v>
      </c>
      <c r="T87" s="71"/>
      <c r="U87" s="72"/>
      <c r="V87" s="72"/>
      <c r="W87" s="72"/>
      <c r="X87" s="72"/>
      <c r="Y87" s="72"/>
      <c r="Z87" s="72"/>
      <c r="AA87" s="72"/>
      <c r="AB87" s="72"/>
      <c r="AC87" s="72"/>
    </row>
    <row r="88" spans="1:30" ht="15.5">
      <c r="A88" s="58">
        <v>46095</v>
      </c>
      <c r="B88" s="58" t="s">
        <v>84</v>
      </c>
      <c r="C88" s="60" t="s">
        <v>104</v>
      </c>
      <c r="D88" s="60" t="str">
        <f>IF(C88=" "," ",VLOOKUP(C88,'[1]Dữ Liệu'!$C$7:$D$134,2,FALSE))</f>
        <v>GUA</v>
      </c>
      <c r="E88" s="62" t="s">
        <v>86</v>
      </c>
      <c r="F88" s="128" t="s">
        <v>87</v>
      </c>
      <c r="G88" s="131" t="s">
        <v>94</v>
      </c>
      <c r="H88" s="65">
        <v>17</v>
      </c>
      <c r="I88" s="66">
        <f t="shared" si="3"/>
        <v>16</v>
      </c>
      <c r="J88" s="76">
        <f t="shared" si="4"/>
        <v>1</v>
      </c>
      <c r="K88" s="68"/>
      <c r="L88" s="66"/>
      <c r="M88" s="66"/>
      <c r="N88" s="66"/>
      <c r="O88" s="66">
        <v>1</v>
      </c>
      <c r="P88" s="66"/>
      <c r="Q88" s="69"/>
      <c r="R88" s="66"/>
      <c r="S88" s="70">
        <f t="shared" si="5"/>
        <v>5.8823529411764705E-2</v>
      </c>
      <c r="T88" s="71"/>
      <c r="U88" s="72"/>
      <c r="V88" s="57">
        <v>4</v>
      </c>
      <c r="W88" s="57">
        <v>1.5</v>
      </c>
      <c r="X88" s="72"/>
      <c r="Y88" s="72">
        <v>1</v>
      </c>
      <c r="Z88" s="72"/>
      <c r="AA88" s="72"/>
      <c r="AB88" s="72"/>
      <c r="AC88" s="72"/>
      <c r="AD88" t="s">
        <v>111</v>
      </c>
    </row>
    <row r="89" spans="1:30" ht="15.5">
      <c r="A89" s="58">
        <v>46095</v>
      </c>
      <c r="B89" s="58" t="s">
        <v>84</v>
      </c>
      <c r="C89" s="60" t="s">
        <v>104</v>
      </c>
      <c r="D89" s="60" t="str">
        <f>IF(C89=" "," ",VLOOKUP(C89,'[1]Dữ Liệu'!$C$7:$D$134,2,FALSE))</f>
        <v>GUA</v>
      </c>
      <c r="E89" s="62" t="s">
        <v>86</v>
      </c>
      <c r="F89" s="128" t="s">
        <v>87</v>
      </c>
      <c r="G89" s="129" t="s">
        <v>91</v>
      </c>
      <c r="H89" s="65">
        <v>38</v>
      </c>
      <c r="I89" s="66">
        <f t="shared" si="3"/>
        <v>33</v>
      </c>
      <c r="J89" s="76">
        <f t="shared" si="4"/>
        <v>5</v>
      </c>
      <c r="K89" s="68"/>
      <c r="L89" s="66"/>
      <c r="M89" s="66">
        <v>2</v>
      </c>
      <c r="N89" s="66"/>
      <c r="O89" s="66">
        <v>2</v>
      </c>
      <c r="P89" s="66">
        <v>1</v>
      </c>
      <c r="Q89" s="69"/>
      <c r="R89" s="66"/>
      <c r="S89" s="70">
        <f t="shared" si="5"/>
        <v>0.13157894736842105</v>
      </c>
      <c r="T89" s="71"/>
      <c r="U89" s="72"/>
      <c r="V89" s="72"/>
      <c r="W89" s="72"/>
      <c r="X89" s="72"/>
      <c r="Y89" s="72"/>
      <c r="Z89" s="72"/>
      <c r="AA89" s="72"/>
      <c r="AB89" s="72"/>
      <c r="AC89" s="72"/>
    </row>
    <row r="90" spans="1:30" ht="15.5">
      <c r="A90" s="58">
        <v>46095</v>
      </c>
      <c r="B90" s="58" t="s">
        <v>84</v>
      </c>
      <c r="C90" s="60" t="s">
        <v>104</v>
      </c>
      <c r="D90" s="60" t="str">
        <f>IF(C90=" "," ",VLOOKUP(C90,'[1]Dữ Liệu'!$C$7:$D$134,2,FALSE))</f>
        <v>GUA</v>
      </c>
      <c r="E90" s="62" t="s">
        <v>86</v>
      </c>
      <c r="F90" s="128" t="s">
        <v>87</v>
      </c>
      <c r="G90" s="64" t="s">
        <v>88</v>
      </c>
      <c r="H90" s="65">
        <v>28</v>
      </c>
      <c r="I90" s="66">
        <f t="shared" si="3"/>
        <v>26</v>
      </c>
      <c r="J90" s="76">
        <f t="shared" si="4"/>
        <v>2</v>
      </c>
      <c r="K90" s="68"/>
      <c r="L90" s="66"/>
      <c r="M90" s="66"/>
      <c r="N90" s="66"/>
      <c r="O90" s="66">
        <v>1</v>
      </c>
      <c r="P90" s="66">
        <v>1</v>
      </c>
      <c r="Q90" s="69"/>
      <c r="R90" s="66"/>
      <c r="S90" s="70">
        <f t="shared" si="5"/>
        <v>7.1428571428571425E-2</v>
      </c>
      <c r="T90" s="71"/>
      <c r="U90" s="72"/>
      <c r="V90" s="72"/>
      <c r="W90" s="72"/>
      <c r="X90" s="72"/>
      <c r="Y90" s="72"/>
      <c r="Z90" s="72"/>
      <c r="AA90" s="72"/>
      <c r="AB90" s="72"/>
      <c r="AC90" s="72"/>
    </row>
    <row r="91" spans="1:30" ht="15.5">
      <c r="A91" s="58">
        <v>46095</v>
      </c>
      <c r="B91" s="58" t="s">
        <v>84</v>
      </c>
      <c r="C91" s="60" t="s">
        <v>104</v>
      </c>
      <c r="D91" s="60" t="str">
        <f>IF(C91=" "," ",VLOOKUP(C91,'[1]Dữ Liệu'!$C$7:$D$134,2,FALSE))</f>
        <v>GUA</v>
      </c>
      <c r="E91" s="62" t="s">
        <v>86</v>
      </c>
      <c r="F91" s="128" t="s">
        <v>87</v>
      </c>
      <c r="G91" s="64" t="s">
        <v>89</v>
      </c>
      <c r="H91" s="65">
        <v>10</v>
      </c>
      <c r="I91" s="66">
        <f t="shared" si="3"/>
        <v>9</v>
      </c>
      <c r="J91" s="76">
        <f t="shared" si="4"/>
        <v>1</v>
      </c>
      <c r="K91" s="68"/>
      <c r="L91" s="66"/>
      <c r="M91" s="66"/>
      <c r="N91" s="66"/>
      <c r="O91" s="66">
        <v>1</v>
      </c>
      <c r="P91" s="66"/>
      <c r="Q91" s="69"/>
      <c r="R91" s="66"/>
      <c r="S91" s="70">
        <f t="shared" si="5"/>
        <v>0.1</v>
      </c>
      <c r="T91" s="71"/>
      <c r="U91" s="72"/>
      <c r="V91" s="72"/>
      <c r="W91" s="72"/>
      <c r="X91" s="72"/>
      <c r="Y91" s="72"/>
      <c r="Z91" s="72"/>
      <c r="AA91" s="72"/>
      <c r="AB91" s="72"/>
      <c r="AC91" s="72"/>
    </row>
    <row r="92" spans="1:30" ht="15.5">
      <c r="A92" s="58">
        <v>46095</v>
      </c>
      <c r="B92" s="58" t="s">
        <v>97</v>
      </c>
      <c r="C92" s="60" t="s">
        <v>104</v>
      </c>
      <c r="D92" s="60" t="str">
        <f>IF(C92=" "," ",VLOOKUP(C92,'[1]Dữ Liệu'!$C$7:$D$134,2,FALSE))</f>
        <v>GUA</v>
      </c>
      <c r="E92" s="62" t="s">
        <v>86</v>
      </c>
      <c r="F92" s="128" t="s">
        <v>87</v>
      </c>
      <c r="G92" s="64" t="s">
        <v>94</v>
      </c>
      <c r="H92" s="65">
        <v>1</v>
      </c>
      <c r="I92" s="66">
        <f t="shared" si="3"/>
        <v>1</v>
      </c>
      <c r="J92" s="76">
        <f t="shared" si="4"/>
        <v>0</v>
      </c>
      <c r="K92" s="68"/>
      <c r="L92" s="66"/>
      <c r="M92" s="66"/>
      <c r="N92" s="66"/>
      <c r="O92" s="66"/>
      <c r="P92" s="66"/>
      <c r="Q92" s="69"/>
      <c r="R92" s="66"/>
      <c r="S92" s="70">
        <f t="shared" si="5"/>
        <v>0</v>
      </c>
      <c r="T92" s="71"/>
      <c r="U92" s="72"/>
      <c r="V92" s="72"/>
      <c r="W92" s="72"/>
      <c r="X92" s="72"/>
      <c r="Y92" s="72"/>
      <c r="Z92" s="72"/>
      <c r="AA92" s="72"/>
      <c r="AB92" s="72"/>
      <c r="AC92" s="72"/>
    </row>
    <row r="93" spans="1:30" ht="15.5">
      <c r="A93" s="58">
        <v>46095</v>
      </c>
      <c r="B93" s="58" t="s">
        <v>97</v>
      </c>
      <c r="C93" s="60" t="s">
        <v>104</v>
      </c>
      <c r="D93" s="60" t="str">
        <f>IF(C93=" "," ",VLOOKUP(C93,'[1]Dữ Liệu'!$C$7:$D$134,2,FALSE))</f>
        <v>GUA</v>
      </c>
      <c r="E93" s="62" t="s">
        <v>86</v>
      </c>
      <c r="F93" s="128" t="s">
        <v>87</v>
      </c>
      <c r="G93" s="64" t="s">
        <v>91</v>
      </c>
      <c r="H93" s="65">
        <v>5</v>
      </c>
      <c r="I93" s="66">
        <f t="shared" si="3"/>
        <v>5</v>
      </c>
      <c r="J93" s="76">
        <f t="shared" si="4"/>
        <v>0</v>
      </c>
      <c r="K93" s="68"/>
      <c r="L93" s="66"/>
      <c r="M93" s="66"/>
      <c r="N93" s="66"/>
      <c r="O93" s="66"/>
      <c r="P93" s="66"/>
      <c r="Q93" s="69"/>
      <c r="R93" s="66"/>
      <c r="S93" s="70">
        <f t="shared" si="5"/>
        <v>0</v>
      </c>
      <c r="T93" s="71"/>
      <c r="U93" s="72"/>
      <c r="V93" s="72"/>
      <c r="W93" s="72"/>
      <c r="X93" s="72"/>
      <c r="Y93" s="72"/>
      <c r="Z93" s="72"/>
      <c r="AA93" s="72"/>
      <c r="AB93" s="72"/>
      <c r="AC93" s="72"/>
    </row>
    <row r="94" spans="1:30" ht="15.5">
      <c r="A94" s="58">
        <v>46095</v>
      </c>
      <c r="B94" s="58" t="s">
        <v>97</v>
      </c>
      <c r="C94" s="60" t="s">
        <v>104</v>
      </c>
      <c r="D94" s="60" t="str">
        <f>IF(C94=" "," ",VLOOKUP(C94,'[1]Dữ Liệu'!$C$7:$D$134,2,FALSE))</f>
        <v>GUA</v>
      </c>
      <c r="E94" s="62" t="s">
        <v>86</v>
      </c>
      <c r="F94" s="128" t="s">
        <v>87</v>
      </c>
      <c r="G94" s="64" t="s">
        <v>88</v>
      </c>
      <c r="H94" s="65">
        <v>2</v>
      </c>
      <c r="I94" s="66">
        <f t="shared" si="3"/>
        <v>2</v>
      </c>
      <c r="J94" s="76">
        <f t="shared" si="4"/>
        <v>0</v>
      </c>
      <c r="K94" s="68"/>
      <c r="L94" s="66"/>
      <c r="M94" s="66"/>
      <c r="N94" s="66"/>
      <c r="O94" s="66"/>
      <c r="P94" s="66"/>
      <c r="Q94" s="69"/>
      <c r="R94" s="66"/>
      <c r="S94" s="70">
        <f t="shared" si="5"/>
        <v>0</v>
      </c>
      <c r="T94" s="71"/>
      <c r="U94" s="72"/>
      <c r="V94" s="72"/>
      <c r="W94" s="72"/>
      <c r="X94" s="72"/>
      <c r="Y94" s="72"/>
      <c r="Z94" s="72"/>
      <c r="AA94" s="72"/>
      <c r="AB94" s="72"/>
      <c r="AC94" s="72"/>
    </row>
    <row r="95" spans="1:30" ht="15.5">
      <c r="A95" s="58">
        <v>46095</v>
      </c>
      <c r="B95" s="58" t="s">
        <v>97</v>
      </c>
      <c r="C95" s="60" t="s">
        <v>104</v>
      </c>
      <c r="D95" s="60" t="str">
        <f>IF(C95=" "," ",VLOOKUP(C95,'[1]Dữ Liệu'!$C$7:$D$134,2,FALSE))</f>
        <v>GUA</v>
      </c>
      <c r="E95" s="62" t="s">
        <v>86</v>
      </c>
      <c r="F95" s="128" t="s">
        <v>87</v>
      </c>
      <c r="G95" s="64" t="s">
        <v>89</v>
      </c>
      <c r="H95" s="65">
        <v>1</v>
      </c>
      <c r="I95" s="66">
        <f t="shared" si="3"/>
        <v>1</v>
      </c>
      <c r="J95" s="76">
        <f t="shared" si="4"/>
        <v>0</v>
      </c>
      <c r="K95" s="68"/>
      <c r="L95" s="66"/>
      <c r="M95" s="66"/>
      <c r="N95" s="66"/>
      <c r="O95" s="66"/>
      <c r="P95" s="66"/>
      <c r="Q95" s="69"/>
      <c r="R95" s="66"/>
      <c r="S95" s="70">
        <f t="shared" si="5"/>
        <v>0</v>
      </c>
      <c r="T95" s="71"/>
      <c r="U95" s="72"/>
      <c r="V95" s="72"/>
      <c r="W95" s="72"/>
      <c r="X95" s="72"/>
      <c r="Y95" s="72"/>
      <c r="Z95" s="72"/>
      <c r="AA95" s="72"/>
      <c r="AB95" s="72"/>
      <c r="AC95" s="72"/>
    </row>
    <row r="96" spans="1:30" ht="15.5">
      <c r="A96" s="58">
        <v>46095</v>
      </c>
      <c r="B96" s="58" t="s">
        <v>84</v>
      </c>
      <c r="C96" s="60" t="s">
        <v>105</v>
      </c>
      <c r="D96" s="60" t="str">
        <f>IF(C96=" "," ",VLOOKUP(C96,'[1]Dữ Liệu'!$C$7:$D$134,2,FALSE))</f>
        <v>GUA</v>
      </c>
      <c r="E96" s="62" t="s">
        <v>86</v>
      </c>
      <c r="F96" s="128" t="s">
        <v>87</v>
      </c>
      <c r="G96" s="64" t="s">
        <v>88</v>
      </c>
      <c r="H96" s="65">
        <v>188</v>
      </c>
      <c r="I96" s="66">
        <f t="shared" si="3"/>
        <v>163</v>
      </c>
      <c r="J96" s="76">
        <f t="shared" si="4"/>
        <v>25</v>
      </c>
      <c r="K96" s="68">
        <v>1</v>
      </c>
      <c r="L96" s="66"/>
      <c r="M96" s="66">
        <v>3</v>
      </c>
      <c r="N96" s="66"/>
      <c r="O96" s="66">
        <v>14</v>
      </c>
      <c r="P96" s="66">
        <v>7</v>
      </c>
      <c r="Q96" s="69"/>
      <c r="R96" s="66"/>
      <c r="S96" s="70">
        <f t="shared" si="5"/>
        <v>0.13297872340425532</v>
      </c>
      <c r="T96" s="71"/>
      <c r="U96" s="72"/>
      <c r="V96" s="72"/>
      <c r="W96" s="72"/>
      <c r="X96" s="72"/>
      <c r="Y96" s="72"/>
      <c r="Z96" s="72"/>
      <c r="AA96" s="72"/>
      <c r="AB96" s="72"/>
      <c r="AC96" s="72"/>
    </row>
    <row r="97" spans="1:30" ht="15.5">
      <c r="A97" s="58">
        <v>46095</v>
      </c>
      <c r="B97" s="58" t="s">
        <v>84</v>
      </c>
      <c r="C97" s="60" t="s">
        <v>105</v>
      </c>
      <c r="D97" s="60" t="str">
        <f>IF(C97=" "," ",VLOOKUP(C97,'[1]Dữ Liệu'!$C$7:$D$134,2,FALSE))</f>
        <v>GUA</v>
      </c>
      <c r="E97" s="62" t="s">
        <v>86</v>
      </c>
      <c r="F97" s="128" t="s">
        <v>87</v>
      </c>
      <c r="G97" s="64" t="s">
        <v>89</v>
      </c>
      <c r="H97" s="65">
        <v>104</v>
      </c>
      <c r="I97" s="66">
        <f t="shared" si="3"/>
        <v>93</v>
      </c>
      <c r="J97" s="76">
        <f t="shared" si="4"/>
        <v>11</v>
      </c>
      <c r="K97" s="68"/>
      <c r="L97" s="66"/>
      <c r="M97" s="66">
        <v>2</v>
      </c>
      <c r="N97" s="66"/>
      <c r="O97" s="66">
        <v>6</v>
      </c>
      <c r="P97" s="66">
        <v>3</v>
      </c>
      <c r="Q97" s="69"/>
      <c r="R97" s="66"/>
      <c r="S97" s="70">
        <f t="shared" si="5"/>
        <v>0.10576923076923077</v>
      </c>
      <c r="T97" s="71"/>
      <c r="U97" s="72"/>
      <c r="V97" s="72"/>
      <c r="W97" s="72"/>
      <c r="X97" s="72"/>
      <c r="Y97" s="72"/>
      <c r="Z97" s="72"/>
      <c r="AA97" s="72"/>
      <c r="AB97" s="72"/>
      <c r="AC97" s="72"/>
    </row>
    <row r="98" spans="1:30" ht="15.5">
      <c r="A98" s="58">
        <v>46095</v>
      </c>
      <c r="B98" s="58" t="s">
        <v>97</v>
      </c>
      <c r="C98" s="60" t="s">
        <v>105</v>
      </c>
      <c r="D98" s="60" t="str">
        <f>IF(C98=" "," ",VLOOKUP(C98,'[1]Dữ Liệu'!$C$7:$D$134,2,FALSE))</f>
        <v>GUA</v>
      </c>
      <c r="E98" s="62" t="s">
        <v>86</v>
      </c>
      <c r="F98" s="128" t="s">
        <v>87</v>
      </c>
      <c r="G98" s="64" t="s">
        <v>88</v>
      </c>
      <c r="H98" s="65">
        <v>25</v>
      </c>
      <c r="I98" s="66">
        <f t="shared" si="3"/>
        <v>25</v>
      </c>
      <c r="J98" s="76">
        <f t="shared" si="4"/>
        <v>0</v>
      </c>
      <c r="K98" s="68"/>
      <c r="L98" s="66"/>
      <c r="M98" s="66"/>
      <c r="N98" s="66"/>
      <c r="O98" s="66"/>
      <c r="P98" s="66"/>
      <c r="Q98" s="69"/>
      <c r="R98" s="66"/>
      <c r="S98" s="70">
        <f t="shared" si="5"/>
        <v>0</v>
      </c>
      <c r="T98" s="71"/>
      <c r="U98" s="72"/>
      <c r="V98" s="72"/>
      <c r="W98" s="72"/>
      <c r="X98" s="72"/>
      <c r="Y98" s="72"/>
      <c r="Z98" s="72"/>
      <c r="AA98" s="72"/>
      <c r="AB98" s="72"/>
      <c r="AC98" s="72"/>
    </row>
    <row r="99" spans="1:30" ht="16" thickBot="1">
      <c r="A99" s="58">
        <v>46095</v>
      </c>
      <c r="B99" s="58" t="s">
        <v>97</v>
      </c>
      <c r="C99" s="60" t="s">
        <v>105</v>
      </c>
      <c r="D99" s="60" t="str">
        <f>IF(C99=" "," ",VLOOKUP(C99,'[1]Dữ Liệu'!$C$7:$D$134,2,FALSE))</f>
        <v>GUA</v>
      </c>
      <c r="E99" s="62" t="s">
        <v>86</v>
      </c>
      <c r="F99" s="128" t="s">
        <v>87</v>
      </c>
      <c r="G99" s="64" t="s">
        <v>89</v>
      </c>
      <c r="H99" s="65">
        <v>11</v>
      </c>
      <c r="I99" s="66">
        <f t="shared" si="3"/>
        <v>11</v>
      </c>
      <c r="J99" s="76">
        <f t="shared" si="4"/>
        <v>0</v>
      </c>
      <c r="K99" s="68"/>
      <c r="L99" s="66"/>
      <c r="M99" s="66"/>
      <c r="N99" s="66"/>
      <c r="O99" s="66"/>
      <c r="P99" s="66"/>
      <c r="Q99" s="69"/>
      <c r="R99" s="66"/>
      <c r="S99" s="70">
        <f t="shared" si="5"/>
        <v>0</v>
      </c>
      <c r="T99" s="71"/>
      <c r="U99" s="72"/>
      <c r="V99" s="72"/>
      <c r="W99" s="72"/>
      <c r="X99" s="72"/>
      <c r="Y99" s="72"/>
      <c r="Z99" s="72"/>
      <c r="AA99" s="72"/>
      <c r="AB99" s="72"/>
      <c r="AC99" s="72"/>
    </row>
    <row r="100" spans="1:30" ht="15.5">
      <c r="A100" s="58">
        <v>46097</v>
      </c>
      <c r="B100" s="58" t="s">
        <v>84</v>
      </c>
      <c r="C100" s="60" t="s">
        <v>105</v>
      </c>
      <c r="D100" s="60" t="str">
        <f>IF(C100=" "," ",VLOOKUP(C100,'[1]Dữ Liệu'!$C$7:$D$134,2,FALSE))</f>
        <v>GUA</v>
      </c>
      <c r="E100" s="62" t="s">
        <v>86</v>
      </c>
      <c r="F100" s="128" t="s">
        <v>87</v>
      </c>
      <c r="G100" s="64" t="s">
        <v>94</v>
      </c>
      <c r="H100" s="65">
        <v>133</v>
      </c>
      <c r="I100" s="66">
        <f t="shared" si="3"/>
        <v>115</v>
      </c>
      <c r="J100" s="76">
        <f t="shared" si="4"/>
        <v>18</v>
      </c>
      <c r="K100" s="68"/>
      <c r="L100" s="66"/>
      <c r="M100" s="66">
        <v>2</v>
      </c>
      <c r="N100" s="66"/>
      <c r="O100" s="66">
        <v>12</v>
      </c>
      <c r="P100" s="66">
        <v>4</v>
      </c>
      <c r="Q100" s="69"/>
      <c r="R100" s="66"/>
      <c r="S100" s="70">
        <f t="shared" si="5"/>
        <v>0.13533834586466165</v>
      </c>
      <c r="T100" s="71"/>
      <c r="U100" s="72"/>
      <c r="V100" s="57">
        <v>4</v>
      </c>
      <c r="W100" s="57">
        <v>1.5</v>
      </c>
      <c r="X100" s="72"/>
      <c r="Y100" s="72">
        <v>1</v>
      </c>
      <c r="Z100" s="72"/>
      <c r="AA100" s="72"/>
      <c r="AB100" s="72"/>
      <c r="AC100" s="72"/>
      <c r="AD100" t="s">
        <v>112</v>
      </c>
    </row>
    <row r="101" spans="1:30" ht="15.5">
      <c r="A101" s="58">
        <v>46097</v>
      </c>
      <c r="B101" s="58" t="s">
        <v>84</v>
      </c>
      <c r="C101" s="60" t="s">
        <v>105</v>
      </c>
      <c r="D101" s="60" t="str">
        <f>IF(C101=" "," ",VLOOKUP(C101,'[1]Dữ Liệu'!$C$7:$D$134,2,FALSE))</f>
        <v>GUA</v>
      </c>
      <c r="E101" s="62" t="s">
        <v>86</v>
      </c>
      <c r="F101" s="128" t="s">
        <v>87</v>
      </c>
      <c r="G101" s="64" t="s">
        <v>91</v>
      </c>
      <c r="H101" s="65">
        <v>184</v>
      </c>
      <c r="I101" s="66">
        <f t="shared" si="3"/>
        <v>160</v>
      </c>
      <c r="J101" s="76">
        <f t="shared" si="4"/>
        <v>24</v>
      </c>
      <c r="K101" s="68"/>
      <c r="L101" s="66"/>
      <c r="M101" s="66">
        <v>4</v>
      </c>
      <c r="N101" s="66"/>
      <c r="O101" s="66">
        <v>13</v>
      </c>
      <c r="P101" s="66">
        <v>7</v>
      </c>
      <c r="Q101" s="69"/>
      <c r="R101" s="66"/>
      <c r="S101" s="70">
        <f t="shared" si="5"/>
        <v>0.13043478260869565</v>
      </c>
      <c r="T101" s="71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30" ht="15.5">
      <c r="A102" s="58">
        <v>46097</v>
      </c>
      <c r="B102" s="58" t="s">
        <v>84</v>
      </c>
      <c r="C102" s="60" t="s">
        <v>105</v>
      </c>
      <c r="D102" s="60" t="str">
        <f>IF(C102=" "," ",VLOOKUP(C102,'[1]Dữ Liệu'!$C$7:$D$134,2,FALSE))</f>
        <v>GUA</v>
      </c>
      <c r="E102" s="62" t="s">
        <v>86</v>
      </c>
      <c r="F102" s="128" t="s">
        <v>87</v>
      </c>
      <c r="G102" s="64" t="s">
        <v>89</v>
      </c>
      <c r="H102" s="65">
        <v>24</v>
      </c>
      <c r="I102" s="66">
        <f t="shared" si="3"/>
        <v>21</v>
      </c>
      <c r="J102" s="76">
        <f t="shared" si="4"/>
        <v>3</v>
      </c>
      <c r="K102" s="68"/>
      <c r="L102" s="66"/>
      <c r="M102" s="66">
        <v>1</v>
      </c>
      <c r="N102" s="66"/>
      <c r="O102" s="66">
        <v>2</v>
      </c>
      <c r="P102" s="66"/>
      <c r="Q102" s="69"/>
      <c r="R102" s="66"/>
      <c r="S102" s="70">
        <f t="shared" si="5"/>
        <v>0.125</v>
      </c>
      <c r="T102" s="71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30" ht="15.5">
      <c r="A103" s="58">
        <v>46097</v>
      </c>
      <c r="B103" s="58" t="s">
        <v>84</v>
      </c>
      <c r="C103" s="60" t="s">
        <v>105</v>
      </c>
      <c r="D103" s="60" t="str">
        <f>IF(C103=" "," ",VLOOKUP(C103,'[1]Dữ Liệu'!$C$7:$D$134,2,FALSE))</f>
        <v>GUA</v>
      </c>
      <c r="E103" s="62" t="s">
        <v>86</v>
      </c>
      <c r="F103" s="128" t="s">
        <v>87</v>
      </c>
      <c r="G103" s="64" t="s">
        <v>98</v>
      </c>
      <c r="H103" s="65">
        <v>23</v>
      </c>
      <c r="I103" s="66">
        <f t="shared" si="3"/>
        <v>21</v>
      </c>
      <c r="J103" s="76">
        <f t="shared" si="4"/>
        <v>2</v>
      </c>
      <c r="K103" s="68"/>
      <c r="L103" s="66"/>
      <c r="M103" s="66"/>
      <c r="N103" s="66"/>
      <c r="O103" s="66">
        <v>2</v>
      </c>
      <c r="P103" s="66"/>
      <c r="Q103" s="69"/>
      <c r="R103" s="66"/>
      <c r="S103" s="70">
        <f t="shared" si="5"/>
        <v>8.6956521739130432E-2</v>
      </c>
      <c r="T103" s="71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30" ht="15.5">
      <c r="A104" s="58">
        <v>46097</v>
      </c>
      <c r="B104" s="58" t="s">
        <v>84</v>
      </c>
      <c r="C104" s="60" t="s">
        <v>105</v>
      </c>
      <c r="D104" s="60" t="str">
        <f>IF(C104=" "," ",VLOOKUP(C104,'[1]Dữ Liệu'!$C$7:$D$134,2,FALSE))</f>
        <v>GUA</v>
      </c>
      <c r="E104" s="62" t="s">
        <v>86</v>
      </c>
      <c r="F104" s="128" t="s">
        <v>87</v>
      </c>
      <c r="G104" s="78" t="s">
        <v>99</v>
      </c>
      <c r="H104" s="65">
        <v>14</v>
      </c>
      <c r="I104" s="66">
        <f t="shared" si="3"/>
        <v>13</v>
      </c>
      <c r="J104" s="76">
        <f t="shared" si="4"/>
        <v>1</v>
      </c>
      <c r="K104" s="68"/>
      <c r="L104" s="66"/>
      <c r="M104" s="66">
        <v>1</v>
      </c>
      <c r="N104" s="66"/>
      <c r="O104" s="66"/>
      <c r="P104" s="66"/>
      <c r="Q104" s="69"/>
      <c r="R104" s="66"/>
      <c r="S104" s="70">
        <f t="shared" si="5"/>
        <v>7.1428571428571425E-2</v>
      </c>
      <c r="T104" s="71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30" ht="15.5">
      <c r="A105" s="58">
        <v>46097</v>
      </c>
      <c r="B105" s="58" t="s">
        <v>84</v>
      </c>
      <c r="C105" s="60" t="s">
        <v>105</v>
      </c>
      <c r="D105" s="60" t="str">
        <f>IF(C105=" "," ",VLOOKUP(C105,'[1]Dữ Liệu'!$C$7:$D$134,2,FALSE))</f>
        <v>GUA</v>
      </c>
      <c r="E105" s="62" t="s">
        <v>86</v>
      </c>
      <c r="F105" s="128" t="s">
        <v>87</v>
      </c>
      <c r="G105" s="64" t="s">
        <v>101</v>
      </c>
      <c r="H105" s="65">
        <v>13</v>
      </c>
      <c r="I105" s="66">
        <f t="shared" si="3"/>
        <v>12</v>
      </c>
      <c r="J105" s="76">
        <f t="shared" si="4"/>
        <v>1</v>
      </c>
      <c r="K105" s="68"/>
      <c r="L105" s="66"/>
      <c r="M105" s="66"/>
      <c r="N105" s="66"/>
      <c r="O105" s="66">
        <v>1</v>
      </c>
      <c r="P105" s="66"/>
      <c r="Q105" s="69"/>
      <c r="R105" s="66"/>
      <c r="S105" s="70">
        <f t="shared" si="5"/>
        <v>7.6923076923076927E-2</v>
      </c>
      <c r="T105" s="71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30" ht="15.5">
      <c r="A106" s="58">
        <v>46097</v>
      </c>
      <c r="B106" s="58" t="s">
        <v>97</v>
      </c>
      <c r="C106" s="60" t="s">
        <v>105</v>
      </c>
      <c r="D106" s="60" t="str">
        <f>IF(C106=" "," ",VLOOKUP(C106,'[1]Dữ Liệu'!$C$7:$D$134,2,FALSE))</f>
        <v>GUA</v>
      </c>
      <c r="E106" s="62" t="s">
        <v>86</v>
      </c>
      <c r="F106" s="128" t="s">
        <v>87</v>
      </c>
      <c r="G106" s="64" t="s">
        <v>94</v>
      </c>
      <c r="H106" s="65">
        <v>18</v>
      </c>
      <c r="I106" s="66">
        <f t="shared" si="3"/>
        <v>18</v>
      </c>
      <c r="J106" s="76">
        <f t="shared" si="4"/>
        <v>0</v>
      </c>
      <c r="K106" s="68"/>
      <c r="L106" s="66"/>
      <c r="M106" s="66"/>
      <c r="N106" s="66"/>
      <c r="O106" s="66"/>
      <c r="P106" s="66"/>
      <c r="Q106" s="69"/>
      <c r="R106" s="66"/>
      <c r="S106" s="70">
        <f t="shared" si="5"/>
        <v>0</v>
      </c>
      <c r="T106" s="71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30" ht="15.5">
      <c r="A107" s="58">
        <v>46097</v>
      </c>
      <c r="B107" s="58" t="s">
        <v>97</v>
      </c>
      <c r="C107" s="60" t="s">
        <v>105</v>
      </c>
      <c r="D107" s="60" t="str">
        <f>IF(C107=" "," ",VLOOKUP(C107,'[1]Dữ Liệu'!$C$7:$D$134,2,FALSE))</f>
        <v>GUA</v>
      </c>
      <c r="E107" s="62" t="s">
        <v>86</v>
      </c>
      <c r="F107" s="128" t="s">
        <v>87</v>
      </c>
      <c r="G107" s="64" t="s">
        <v>91</v>
      </c>
      <c r="H107" s="65">
        <v>24</v>
      </c>
      <c r="I107" s="66">
        <f t="shared" si="3"/>
        <v>24</v>
      </c>
      <c r="J107" s="76">
        <f t="shared" si="4"/>
        <v>0</v>
      </c>
      <c r="K107" s="68"/>
      <c r="L107" s="66"/>
      <c r="M107" s="66"/>
      <c r="N107" s="66"/>
      <c r="O107" s="66"/>
      <c r="P107" s="66"/>
      <c r="Q107" s="69"/>
      <c r="R107" s="66"/>
      <c r="S107" s="70">
        <f t="shared" si="5"/>
        <v>0</v>
      </c>
      <c r="T107" s="71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30" ht="15.5">
      <c r="A108" s="58">
        <v>46097</v>
      </c>
      <c r="B108" s="58" t="s">
        <v>97</v>
      </c>
      <c r="C108" s="60" t="s">
        <v>105</v>
      </c>
      <c r="D108" s="60" t="str">
        <f>IF(C108=" "," ",VLOOKUP(C108,'[1]Dữ Liệu'!$C$7:$D$134,2,FALSE))</f>
        <v>GUA</v>
      </c>
      <c r="E108" s="62" t="s">
        <v>86</v>
      </c>
      <c r="F108" s="128" t="s">
        <v>87</v>
      </c>
      <c r="G108" s="64" t="s">
        <v>89</v>
      </c>
      <c r="H108" s="65">
        <v>3</v>
      </c>
      <c r="I108" s="66">
        <f t="shared" si="3"/>
        <v>3</v>
      </c>
      <c r="J108" s="76">
        <f t="shared" si="4"/>
        <v>0</v>
      </c>
      <c r="K108" s="68"/>
      <c r="L108" s="66"/>
      <c r="M108" s="66"/>
      <c r="N108" s="66"/>
      <c r="O108" s="66"/>
      <c r="P108" s="66"/>
      <c r="Q108" s="69"/>
      <c r="R108" s="66"/>
      <c r="S108" s="70">
        <f t="shared" si="5"/>
        <v>0</v>
      </c>
      <c r="T108" s="71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30" ht="15.5">
      <c r="A109" s="58">
        <v>46097</v>
      </c>
      <c r="B109" s="58" t="s">
        <v>97</v>
      </c>
      <c r="C109" s="60" t="s">
        <v>105</v>
      </c>
      <c r="D109" s="60" t="str">
        <f>IF(C109=" "," ",VLOOKUP(C109,'[1]Dữ Liệu'!$C$7:$D$134,2,FALSE))</f>
        <v>GUA</v>
      </c>
      <c r="E109" s="62" t="s">
        <v>86</v>
      </c>
      <c r="F109" s="128" t="s">
        <v>87</v>
      </c>
      <c r="G109" s="64" t="s">
        <v>98</v>
      </c>
      <c r="H109" s="65">
        <v>2</v>
      </c>
      <c r="I109" s="66">
        <f t="shared" si="3"/>
        <v>2</v>
      </c>
      <c r="J109" s="76">
        <f t="shared" si="4"/>
        <v>0</v>
      </c>
      <c r="K109" s="68"/>
      <c r="L109" s="66"/>
      <c r="M109" s="66"/>
      <c r="N109" s="66"/>
      <c r="O109" s="66"/>
      <c r="P109" s="66"/>
      <c r="Q109" s="69"/>
      <c r="R109" s="66"/>
      <c r="S109" s="70">
        <f t="shared" si="5"/>
        <v>0</v>
      </c>
      <c r="T109" s="71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30" ht="15.5">
      <c r="A110" s="58">
        <v>46097</v>
      </c>
      <c r="B110" s="58" t="s">
        <v>97</v>
      </c>
      <c r="C110" s="60" t="s">
        <v>105</v>
      </c>
      <c r="D110" s="60" t="str">
        <f>IF(C110=" "," ",VLOOKUP(C110,'[1]Dữ Liệu'!$C$7:$D$134,2,FALSE))</f>
        <v>GUA</v>
      </c>
      <c r="E110" s="62" t="s">
        <v>86</v>
      </c>
      <c r="F110" s="128" t="s">
        <v>87</v>
      </c>
      <c r="G110" s="125" t="s">
        <v>99</v>
      </c>
      <c r="H110" s="65">
        <v>1</v>
      </c>
      <c r="I110" s="66">
        <f t="shared" si="3"/>
        <v>1</v>
      </c>
      <c r="J110" s="76">
        <f t="shared" si="4"/>
        <v>0</v>
      </c>
      <c r="K110" s="68"/>
      <c r="L110" s="66"/>
      <c r="M110" s="66"/>
      <c r="N110" s="66"/>
      <c r="O110" s="66"/>
      <c r="P110" s="66"/>
      <c r="Q110" s="69"/>
      <c r="R110" s="66"/>
      <c r="S110" s="70">
        <f t="shared" si="5"/>
        <v>0</v>
      </c>
      <c r="T110" s="71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30" ht="15.5">
      <c r="A111" s="58">
        <v>46097</v>
      </c>
      <c r="B111" s="58" t="s">
        <v>97</v>
      </c>
      <c r="C111" s="60" t="s">
        <v>105</v>
      </c>
      <c r="D111" s="60" t="str">
        <f>IF(C111=" "," ",VLOOKUP(C111,'[1]Dữ Liệu'!$C$7:$D$134,2,FALSE))</f>
        <v>GUA</v>
      </c>
      <c r="E111" s="62" t="s">
        <v>86</v>
      </c>
      <c r="F111" s="128" t="s">
        <v>87</v>
      </c>
      <c r="G111" s="126" t="s">
        <v>101</v>
      </c>
      <c r="H111" s="65">
        <v>1</v>
      </c>
      <c r="I111" s="66">
        <f t="shared" si="3"/>
        <v>1</v>
      </c>
      <c r="J111" s="76">
        <f t="shared" si="4"/>
        <v>0</v>
      </c>
      <c r="K111" s="68"/>
      <c r="L111" s="66"/>
      <c r="M111" s="66"/>
      <c r="N111" s="66"/>
      <c r="O111" s="66"/>
      <c r="P111" s="66"/>
      <c r="Q111" s="69"/>
      <c r="R111" s="66"/>
      <c r="S111" s="70">
        <f t="shared" si="5"/>
        <v>0</v>
      </c>
      <c r="T111" s="71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30" ht="15.5">
      <c r="A112" s="58"/>
      <c r="B112" s="58"/>
      <c r="C112" s="60"/>
      <c r="D112" s="77"/>
      <c r="E112" s="60"/>
      <c r="F112" s="63"/>
      <c r="G112" s="64"/>
      <c r="H112" s="65"/>
      <c r="I112" s="66">
        <f t="shared" si="3"/>
        <v>0</v>
      </c>
      <c r="J112" s="76">
        <f t="shared" si="4"/>
        <v>0</v>
      </c>
      <c r="K112" s="68"/>
      <c r="L112" s="66"/>
      <c r="M112" s="66"/>
      <c r="N112" s="66"/>
      <c r="O112" s="66"/>
      <c r="P112" s="66"/>
      <c r="Q112" s="69"/>
      <c r="R112" s="66"/>
      <c r="S112" s="70" t="e">
        <f t="shared" si="5"/>
        <v>#DIV/0!</v>
      </c>
      <c r="T112" s="71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5.5">
      <c r="A113" s="58"/>
      <c r="B113" s="58"/>
      <c r="C113" s="60"/>
      <c r="D113" s="77"/>
      <c r="E113" s="60"/>
      <c r="F113" s="63"/>
      <c r="G113" s="64"/>
      <c r="H113" s="65"/>
      <c r="I113" s="66">
        <f t="shared" si="3"/>
        <v>0</v>
      </c>
      <c r="J113" s="76">
        <f t="shared" si="4"/>
        <v>0</v>
      </c>
      <c r="K113" s="68"/>
      <c r="L113" s="66"/>
      <c r="M113" s="66"/>
      <c r="N113" s="66"/>
      <c r="O113" s="66"/>
      <c r="P113" s="66"/>
      <c r="Q113" s="69"/>
      <c r="R113" s="66"/>
      <c r="S113" s="70" t="e">
        <f t="shared" si="5"/>
        <v>#DIV/0!</v>
      </c>
      <c r="T113" s="71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5.5">
      <c r="A114" s="58"/>
      <c r="B114" s="58"/>
      <c r="C114" s="60"/>
      <c r="D114" s="77"/>
      <c r="E114" s="60"/>
      <c r="F114" s="63"/>
      <c r="G114" s="64"/>
      <c r="H114" s="65"/>
      <c r="I114" s="66">
        <f t="shared" si="3"/>
        <v>0</v>
      </c>
      <c r="J114" s="76">
        <f t="shared" si="4"/>
        <v>0</v>
      </c>
      <c r="K114" s="68"/>
      <c r="L114" s="66"/>
      <c r="M114" s="66"/>
      <c r="N114" s="66"/>
      <c r="O114" s="66"/>
      <c r="P114" s="66"/>
      <c r="Q114" s="69"/>
      <c r="R114" s="66"/>
      <c r="S114" s="70" t="e">
        <f t="shared" si="5"/>
        <v>#DIV/0!</v>
      </c>
      <c r="T114" s="71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5.5">
      <c r="A115" s="58"/>
      <c r="B115" s="58"/>
      <c r="C115" s="60"/>
      <c r="D115" s="77"/>
      <c r="E115" s="60"/>
      <c r="F115" s="63"/>
      <c r="G115" s="64"/>
      <c r="H115" s="65"/>
      <c r="I115" s="66">
        <f t="shared" si="3"/>
        <v>0</v>
      </c>
      <c r="J115" s="76">
        <f t="shared" si="4"/>
        <v>0</v>
      </c>
      <c r="K115" s="68"/>
      <c r="L115" s="66"/>
      <c r="M115" s="66"/>
      <c r="N115" s="66"/>
      <c r="O115" s="66"/>
      <c r="P115" s="66"/>
      <c r="Q115" s="69"/>
      <c r="R115" s="66"/>
      <c r="S115" s="70" t="e">
        <f t="shared" si="5"/>
        <v>#DIV/0!</v>
      </c>
      <c r="T115" s="71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5.5">
      <c r="A116" s="58"/>
      <c r="B116" s="58"/>
      <c r="C116" s="60"/>
      <c r="D116" s="77"/>
      <c r="E116" s="60"/>
      <c r="F116" s="63"/>
      <c r="G116" s="64"/>
      <c r="H116" s="65"/>
      <c r="I116" s="66">
        <f t="shared" si="3"/>
        <v>0</v>
      </c>
      <c r="J116" s="76">
        <f t="shared" si="4"/>
        <v>0</v>
      </c>
      <c r="K116" s="68"/>
      <c r="L116" s="66"/>
      <c r="M116" s="66"/>
      <c r="N116" s="66"/>
      <c r="O116" s="66"/>
      <c r="P116" s="66"/>
      <c r="Q116" s="69"/>
      <c r="R116" s="66"/>
      <c r="S116" s="70" t="e">
        <f t="shared" si="5"/>
        <v>#DIV/0!</v>
      </c>
      <c r="T116" s="71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5.5">
      <c r="A117" s="58"/>
      <c r="B117" s="58"/>
      <c r="C117" s="60"/>
      <c r="D117" s="77"/>
      <c r="E117" s="60"/>
      <c r="F117" s="132"/>
      <c r="G117" s="64"/>
      <c r="H117" s="65"/>
      <c r="I117" s="66">
        <f t="shared" si="3"/>
        <v>0</v>
      </c>
      <c r="J117" s="76">
        <f t="shared" si="4"/>
        <v>0</v>
      </c>
      <c r="K117" s="68"/>
      <c r="L117" s="66"/>
      <c r="M117" s="66"/>
      <c r="N117" s="66"/>
      <c r="O117" s="66"/>
      <c r="P117" s="66"/>
      <c r="Q117" s="69"/>
      <c r="R117" s="66"/>
      <c r="S117" s="70" t="e">
        <f t="shared" si="5"/>
        <v>#DIV/0!</v>
      </c>
      <c r="T117" s="71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5.5">
      <c r="A118" s="58"/>
      <c r="B118" s="58"/>
      <c r="C118" s="60"/>
      <c r="D118" s="77"/>
      <c r="E118" s="60"/>
      <c r="F118" s="132"/>
      <c r="G118" s="64"/>
      <c r="H118" s="65"/>
      <c r="I118" s="66">
        <f t="shared" si="3"/>
        <v>0</v>
      </c>
      <c r="J118" s="76">
        <f t="shared" si="4"/>
        <v>0</v>
      </c>
      <c r="K118" s="68"/>
      <c r="L118" s="66"/>
      <c r="M118" s="66"/>
      <c r="N118" s="66"/>
      <c r="O118" s="66"/>
      <c r="P118" s="66"/>
      <c r="Q118" s="69"/>
      <c r="R118" s="66"/>
      <c r="S118" s="70" t="e">
        <f t="shared" si="5"/>
        <v>#DIV/0!</v>
      </c>
      <c r="T118" s="71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5.5">
      <c r="A119" s="58"/>
      <c r="B119" s="58"/>
      <c r="C119" s="60"/>
      <c r="D119" s="77"/>
      <c r="E119" s="60"/>
      <c r="F119" s="132"/>
      <c r="G119" s="64"/>
      <c r="H119" s="65"/>
      <c r="I119" s="66">
        <f t="shared" si="3"/>
        <v>0</v>
      </c>
      <c r="J119" s="76">
        <f t="shared" si="4"/>
        <v>0</v>
      </c>
      <c r="K119" s="68"/>
      <c r="L119" s="66"/>
      <c r="M119" s="66"/>
      <c r="N119" s="66"/>
      <c r="O119" s="66"/>
      <c r="P119" s="66"/>
      <c r="Q119" s="69"/>
      <c r="R119" s="66"/>
      <c r="S119" s="70" t="e">
        <f t="shared" si="5"/>
        <v>#DIV/0!</v>
      </c>
      <c r="T119" s="71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5.5">
      <c r="A120" s="58"/>
      <c r="B120" s="58"/>
      <c r="C120" s="60"/>
      <c r="D120" s="77"/>
      <c r="E120" s="60"/>
      <c r="F120" s="132"/>
      <c r="G120" s="78"/>
      <c r="H120" s="65"/>
      <c r="I120" s="66">
        <f t="shared" si="3"/>
        <v>0</v>
      </c>
      <c r="J120" s="76">
        <f t="shared" si="4"/>
        <v>0</v>
      </c>
      <c r="K120" s="68"/>
      <c r="L120" s="66"/>
      <c r="M120" s="66"/>
      <c r="N120" s="66"/>
      <c r="O120" s="66"/>
      <c r="P120" s="66"/>
      <c r="Q120" s="69"/>
      <c r="R120" s="66"/>
      <c r="S120" s="70" t="e">
        <f t="shared" si="5"/>
        <v>#DIV/0!</v>
      </c>
      <c r="T120" s="71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5.5">
      <c r="A121" s="58"/>
      <c r="B121" s="58"/>
      <c r="C121" s="60"/>
      <c r="D121" s="77"/>
      <c r="E121" s="60"/>
      <c r="F121" s="132"/>
      <c r="G121" s="64"/>
      <c r="H121" s="65"/>
      <c r="I121" s="66">
        <f t="shared" si="3"/>
        <v>0</v>
      </c>
      <c r="J121" s="76">
        <f t="shared" si="4"/>
        <v>0</v>
      </c>
      <c r="K121" s="68"/>
      <c r="L121" s="66"/>
      <c r="M121" s="66"/>
      <c r="N121" s="66"/>
      <c r="O121" s="66"/>
      <c r="P121" s="66"/>
      <c r="Q121" s="69"/>
      <c r="R121" s="66"/>
      <c r="S121" s="70" t="e">
        <f t="shared" si="5"/>
        <v>#DIV/0!</v>
      </c>
      <c r="T121" s="71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5.5">
      <c r="A122" s="58"/>
      <c r="B122" s="58"/>
      <c r="C122" s="60"/>
      <c r="D122" s="77"/>
      <c r="E122" s="60"/>
      <c r="F122" s="132"/>
      <c r="G122" s="64"/>
      <c r="H122" s="65"/>
      <c r="I122" s="66">
        <f t="shared" si="3"/>
        <v>0</v>
      </c>
      <c r="J122" s="76">
        <f t="shared" si="4"/>
        <v>0</v>
      </c>
      <c r="K122" s="68"/>
      <c r="L122" s="66"/>
      <c r="M122" s="66"/>
      <c r="N122" s="66"/>
      <c r="O122" s="66"/>
      <c r="P122" s="66"/>
      <c r="Q122" s="69"/>
      <c r="R122" s="66"/>
      <c r="S122" s="70" t="e">
        <f t="shared" si="5"/>
        <v>#DIV/0!</v>
      </c>
      <c r="T122" s="71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5.5">
      <c r="A123" s="58"/>
      <c r="B123" s="58"/>
      <c r="C123" s="60"/>
      <c r="D123" s="77"/>
      <c r="E123" s="60"/>
      <c r="F123" s="132"/>
      <c r="G123" s="64"/>
      <c r="H123" s="65"/>
      <c r="I123" s="66">
        <f t="shared" si="3"/>
        <v>0</v>
      </c>
      <c r="J123" s="76">
        <f t="shared" si="4"/>
        <v>0</v>
      </c>
      <c r="K123" s="68"/>
      <c r="L123" s="66"/>
      <c r="M123" s="66"/>
      <c r="N123" s="66"/>
      <c r="O123" s="66"/>
      <c r="P123" s="66"/>
      <c r="Q123" s="69"/>
      <c r="R123" s="66"/>
      <c r="S123" s="70" t="e">
        <f t="shared" si="5"/>
        <v>#DIV/0!</v>
      </c>
      <c r="T123" s="71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5.5">
      <c r="A124" s="58"/>
      <c r="B124" s="58"/>
      <c r="C124" s="60"/>
      <c r="D124" s="77"/>
      <c r="E124" s="60"/>
      <c r="F124" s="132"/>
      <c r="G124" s="64"/>
      <c r="H124" s="65"/>
      <c r="I124" s="66">
        <f t="shared" si="3"/>
        <v>0</v>
      </c>
      <c r="J124" s="76">
        <f t="shared" si="4"/>
        <v>0</v>
      </c>
      <c r="K124" s="68"/>
      <c r="L124" s="66"/>
      <c r="M124" s="66"/>
      <c r="N124" s="66"/>
      <c r="O124" s="66"/>
      <c r="P124" s="66"/>
      <c r="Q124" s="69"/>
      <c r="R124" s="66"/>
      <c r="S124" s="70" t="e">
        <f t="shared" si="5"/>
        <v>#DIV/0!</v>
      </c>
      <c r="T124" s="71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5.5">
      <c r="A125" s="58"/>
      <c r="B125" s="58"/>
      <c r="C125" s="60"/>
      <c r="D125" s="77"/>
      <c r="E125" s="60"/>
      <c r="F125" s="132"/>
      <c r="G125" s="64"/>
      <c r="H125" s="65"/>
      <c r="I125" s="66">
        <f t="shared" si="3"/>
        <v>0</v>
      </c>
      <c r="J125" s="76">
        <f t="shared" si="4"/>
        <v>0</v>
      </c>
      <c r="K125" s="68"/>
      <c r="L125" s="66"/>
      <c r="M125" s="66"/>
      <c r="N125" s="66"/>
      <c r="O125" s="66"/>
      <c r="P125" s="66"/>
      <c r="Q125" s="69"/>
      <c r="R125" s="66"/>
      <c r="S125" s="70" t="e">
        <f t="shared" si="5"/>
        <v>#DIV/0!</v>
      </c>
      <c r="T125" s="71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5.5">
      <c r="A126" s="58"/>
      <c r="B126" s="58"/>
      <c r="C126" s="60"/>
      <c r="D126" s="77"/>
      <c r="E126" s="60"/>
      <c r="F126" s="132"/>
      <c r="G126" s="125"/>
      <c r="H126" s="65"/>
      <c r="I126" s="66">
        <f t="shared" si="3"/>
        <v>0</v>
      </c>
      <c r="J126" s="76">
        <f t="shared" si="4"/>
        <v>0</v>
      </c>
      <c r="K126" s="68"/>
      <c r="L126" s="66"/>
      <c r="M126" s="66"/>
      <c r="N126" s="66"/>
      <c r="O126" s="66"/>
      <c r="P126" s="66"/>
      <c r="Q126" s="69"/>
      <c r="R126" s="66"/>
      <c r="S126" s="70" t="e">
        <f t="shared" si="5"/>
        <v>#DIV/0!</v>
      </c>
      <c r="T126" s="71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5.5">
      <c r="A127" s="58"/>
      <c r="B127" s="58"/>
      <c r="C127" s="60"/>
      <c r="D127" s="77"/>
      <c r="E127" s="60"/>
      <c r="F127" s="132"/>
      <c r="G127" s="125"/>
      <c r="H127" s="65"/>
      <c r="I127" s="66">
        <f t="shared" si="3"/>
        <v>0</v>
      </c>
      <c r="J127" s="76">
        <f t="shared" si="4"/>
        <v>0</v>
      </c>
      <c r="K127" s="68"/>
      <c r="L127" s="66"/>
      <c r="M127" s="66"/>
      <c r="N127" s="66"/>
      <c r="O127" s="66"/>
      <c r="P127" s="66"/>
      <c r="Q127" s="69"/>
      <c r="R127" s="66"/>
      <c r="S127" s="70" t="e">
        <f t="shared" si="5"/>
        <v>#DIV/0!</v>
      </c>
      <c r="T127" s="71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5.5">
      <c r="A128" s="58"/>
      <c r="B128" s="58"/>
      <c r="C128" s="60"/>
      <c r="D128" s="77"/>
      <c r="E128" s="60"/>
      <c r="F128" s="132"/>
      <c r="G128" s="64"/>
      <c r="H128" s="65"/>
      <c r="I128" s="66">
        <f t="shared" si="3"/>
        <v>0</v>
      </c>
      <c r="J128" s="76">
        <f t="shared" si="4"/>
        <v>0</v>
      </c>
      <c r="K128" s="68"/>
      <c r="L128" s="66"/>
      <c r="M128" s="66"/>
      <c r="N128" s="66"/>
      <c r="O128" s="66"/>
      <c r="P128" s="66"/>
      <c r="Q128" s="69"/>
      <c r="R128" s="66"/>
      <c r="S128" s="70" t="e">
        <f t="shared" si="5"/>
        <v>#DIV/0!</v>
      </c>
      <c r="T128" s="71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5.5">
      <c r="A129" s="58"/>
      <c r="B129" s="58"/>
      <c r="C129" s="60"/>
      <c r="D129" s="77"/>
      <c r="E129" s="60"/>
      <c r="F129" s="132"/>
      <c r="G129" s="64"/>
      <c r="H129" s="65"/>
      <c r="I129" s="66">
        <f t="shared" si="3"/>
        <v>0</v>
      </c>
      <c r="J129" s="76">
        <f t="shared" si="4"/>
        <v>0</v>
      </c>
      <c r="K129" s="68"/>
      <c r="L129" s="66"/>
      <c r="M129" s="66"/>
      <c r="N129" s="66"/>
      <c r="O129" s="66"/>
      <c r="P129" s="66"/>
      <c r="Q129" s="69"/>
      <c r="R129" s="66"/>
      <c r="S129" s="70" t="e">
        <f t="shared" si="5"/>
        <v>#DIV/0!</v>
      </c>
      <c r="T129" s="71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5.5">
      <c r="A130" s="58"/>
      <c r="B130" s="58"/>
      <c r="C130" s="60"/>
      <c r="D130" s="77"/>
      <c r="E130" s="60"/>
      <c r="F130" s="132"/>
      <c r="G130" s="64"/>
      <c r="H130" s="65"/>
      <c r="I130" s="66">
        <f t="shared" si="3"/>
        <v>0</v>
      </c>
      <c r="J130" s="76">
        <f t="shared" si="4"/>
        <v>0</v>
      </c>
      <c r="K130" s="68"/>
      <c r="L130" s="66"/>
      <c r="M130" s="66"/>
      <c r="N130" s="66"/>
      <c r="O130" s="66"/>
      <c r="P130" s="66"/>
      <c r="Q130" s="69"/>
      <c r="R130" s="66"/>
      <c r="S130" s="70" t="e">
        <f t="shared" si="5"/>
        <v>#DIV/0!</v>
      </c>
      <c r="T130" s="71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5.5">
      <c r="A131" s="58"/>
      <c r="B131" s="58"/>
      <c r="C131" s="60"/>
      <c r="D131" s="77"/>
      <c r="E131" s="60"/>
      <c r="F131" s="132"/>
      <c r="G131" s="64"/>
      <c r="H131" s="65"/>
      <c r="I131" s="66">
        <f t="shared" si="3"/>
        <v>0</v>
      </c>
      <c r="J131" s="76">
        <f t="shared" si="4"/>
        <v>0</v>
      </c>
      <c r="K131" s="68"/>
      <c r="L131" s="66"/>
      <c r="M131" s="66"/>
      <c r="N131" s="66"/>
      <c r="O131" s="66"/>
      <c r="P131" s="66"/>
      <c r="Q131" s="69"/>
      <c r="R131" s="66"/>
      <c r="S131" s="70" t="e">
        <f t="shared" si="5"/>
        <v>#DIV/0!</v>
      </c>
      <c r="T131" s="71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5.5">
      <c r="A132" s="58"/>
      <c r="B132" s="58"/>
      <c r="C132" s="60"/>
      <c r="D132" s="77"/>
      <c r="E132" s="60"/>
      <c r="F132" s="132"/>
      <c r="G132" s="64"/>
      <c r="H132" s="65"/>
      <c r="I132" s="66">
        <f t="shared" si="3"/>
        <v>0</v>
      </c>
      <c r="J132" s="76">
        <f t="shared" si="4"/>
        <v>0</v>
      </c>
      <c r="K132" s="68"/>
      <c r="L132" s="66"/>
      <c r="M132" s="66"/>
      <c r="N132" s="66"/>
      <c r="O132" s="66"/>
      <c r="P132" s="66"/>
      <c r="Q132" s="69"/>
      <c r="R132" s="66"/>
      <c r="S132" s="70" t="e">
        <f t="shared" si="5"/>
        <v>#DIV/0!</v>
      </c>
      <c r="T132" s="71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5.5">
      <c r="A133" s="58"/>
      <c r="B133" s="58"/>
      <c r="C133" s="60"/>
      <c r="D133" s="77"/>
      <c r="E133" s="60"/>
      <c r="F133" s="132"/>
      <c r="G133" s="64"/>
      <c r="H133" s="65"/>
      <c r="I133" s="66">
        <f t="shared" si="3"/>
        <v>0</v>
      </c>
      <c r="J133" s="76">
        <f t="shared" ref="J133:J146" si="6">SUM(K133:Q133)</f>
        <v>0</v>
      </c>
      <c r="K133" s="68"/>
      <c r="L133" s="66"/>
      <c r="M133" s="66"/>
      <c r="N133" s="66"/>
      <c r="O133" s="66"/>
      <c r="P133" s="66"/>
      <c r="Q133" s="69"/>
      <c r="R133" s="66"/>
      <c r="S133" s="70" t="e">
        <f t="shared" si="5"/>
        <v>#DIV/0!</v>
      </c>
      <c r="T133" s="71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5.5">
      <c r="A134" s="58"/>
      <c r="B134" s="58"/>
      <c r="C134" s="60"/>
      <c r="D134" s="77"/>
      <c r="E134" s="60"/>
      <c r="F134" s="132"/>
      <c r="G134" s="64"/>
      <c r="H134" s="65"/>
      <c r="I134" s="66">
        <f t="shared" si="3"/>
        <v>0</v>
      </c>
      <c r="J134" s="76">
        <f t="shared" si="6"/>
        <v>0</v>
      </c>
      <c r="K134" s="68"/>
      <c r="L134" s="66"/>
      <c r="M134" s="66"/>
      <c r="N134" s="66"/>
      <c r="O134" s="66"/>
      <c r="P134" s="66"/>
      <c r="Q134" s="69"/>
      <c r="R134" s="66"/>
      <c r="S134" s="70" t="e">
        <f t="shared" si="5"/>
        <v>#DIV/0!</v>
      </c>
      <c r="T134" s="71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5.5">
      <c r="A135" s="58"/>
      <c r="B135" s="58"/>
      <c r="C135" s="60"/>
      <c r="D135" s="77"/>
      <c r="E135" s="60"/>
      <c r="F135" s="132"/>
      <c r="G135" s="64"/>
      <c r="H135" s="65"/>
      <c r="I135" s="66">
        <f t="shared" si="3"/>
        <v>0</v>
      </c>
      <c r="J135" s="76">
        <f t="shared" si="6"/>
        <v>0</v>
      </c>
      <c r="K135" s="68"/>
      <c r="L135" s="66"/>
      <c r="M135" s="66"/>
      <c r="N135" s="66"/>
      <c r="O135" s="66"/>
      <c r="P135" s="66"/>
      <c r="Q135" s="69"/>
      <c r="R135" s="66"/>
      <c r="S135" s="70" t="e">
        <f t="shared" si="5"/>
        <v>#DIV/0!</v>
      </c>
      <c r="T135" s="71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5.5">
      <c r="A136" s="58"/>
      <c r="B136" s="58"/>
      <c r="C136" s="60"/>
      <c r="D136" s="77"/>
      <c r="E136" s="60"/>
      <c r="F136" s="132"/>
      <c r="G136" s="64"/>
      <c r="H136" s="65"/>
      <c r="I136" s="66">
        <f t="shared" si="3"/>
        <v>0</v>
      </c>
      <c r="J136" s="76">
        <f t="shared" si="6"/>
        <v>0</v>
      </c>
      <c r="K136" s="68"/>
      <c r="L136" s="66"/>
      <c r="M136" s="66"/>
      <c r="N136" s="66"/>
      <c r="O136" s="66"/>
      <c r="P136" s="66"/>
      <c r="Q136" s="69"/>
      <c r="R136" s="66"/>
      <c r="S136" s="70" t="e">
        <f t="shared" si="5"/>
        <v>#DIV/0!</v>
      </c>
      <c r="T136" s="71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5.5">
      <c r="A137" s="58"/>
      <c r="B137" s="58"/>
      <c r="C137" s="60"/>
      <c r="D137" s="77"/>
      <c r="E137" s="60"/>
      <c r="F137" s="132"/>
      <c r="G137" s="64"/>
      <c r="H137" s="65"/>
      <c r="I137" s="66">
        <f t="shared" si="3"/>
        <v>0</v>
      </c>
      <c r="J137" s="76">
        <f t="shared" si="6"/>
        <v>0</v>
      </c>
      <c r="K137" s="68"/>
      <c r="L137" s="66"/>
      <c r="M137" s="66"/>
      <c r="N137" s="66"/>
      <c r="O137" s="66"/>
      <c r="P137" s="66"/>
      <c r="Q137" s="69"/>
      <c r="R137" s="66"/>
      <c r="S137" s="70" t="e">
        <f t="shared" si="5"/>
        <v>#DIV/0!</v>
      </c>
      <c r="T137" s="71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5.5">
      <c r="A138" s="58"/>
      <c r="B138" s="58"/>
      <c r="C138" s="60"/>
      <c r="D138" s="77"/>
      <c r="E138" s="60"/>
      <c r="F138" s="132"/>
      <c r="G138" s="64"/>
      <c r="H138" s="65"/>
      <c r="I138" s="66">
        <f t="shared" si="3"/>
        <v>0</v>
      </c>
      <c r="J138" s="76">
        <f t="shared" si="6"/>
        <v>0</v>
      </c>
      <c r="K138" s="68"/>
      <c r="L138" s="66"/>
      <c r="M138" s="66"/>
      <c r="N138" s="66"/>
      <c r="O138" s="66"/>
      <c r="P138" s="66"/>
      <c r="Q138" s="69"/>
      <c r="R138" s="66"/>
      <c r="S138" s="70" t="e">
        <f t="shared" si="5"/>
        <v>#DIV/0!</v>
      </c>
      <c r="T138" s="71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5.5">
      <c r="A139" s="58"/>
      <c r="B139" s="58"/>
      <c r="C139" s="60"/>
      <c r="D139" s="77"/>
      <c r="E139" s="60"/>
      <c r="F139" s="132"/>
      <c r="G139" s="64"/>
      <c r="H139" s="65"/>
      <c r="I139" s="66">
        <f t="shared" si="3"/>
        <v>0</v>
      </c>
      <c r="J139" s="76">
        <f t="shared" si="6"/>
        <v>0</v>
      </c>
      <c r="K139" s="68"/>
      <c r="L139" s="66"/>
      <c r="M139" s="66"/>
      <c r="N139" s="66"/>
      <c r="O139" s="66"/>
      <c r="P139" s="66"/>
      <c r="Q139" s="69"/>
      <c r="R139" s="66"/>
      <c r="S139" s="70" t="e">
        <f t="shared" si="5"/>
        <v>#DIV/0!</v>
      </c>
      <c r="T139" s="71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5.5">
      <c r="A140" s="58"/>
      <c r="B140" s="58"/>
      <c r="C140" s="60"/>
      <c r="D140" s="77"/>
      <c r="E140" s="60"/>
      <c r="F140" s="132"/>
      <c r="G140" s="64"/>
      <c r="H140" s="65"/>
      <c r="I140" s="66">
        <f t="shared" si="3"/>
        <v>0</v>
      </c>
      <c r="J140" s="76">
        <f t="shared" si="6"/>
        <v>0</v>
      </c>
      <c r="K140" s="68"/>
      <c r="L140" s="66"/>
      <c r="M140" s="66"/>
      <c r="N140" s="66"/>
      <c r="O140" s="66"/>
      <c r="P140" s="66"/>
      <c r="Q140" s="69"/>
      <c r="R140" s="66"/>
      <c r="S140" s="70" t="e">
        <f t="shared" si="5"/>
        <v>#DIV/0!</v>
      </c>
      <c r="T140" s="71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5.5">
      <c r="A141" s="58"/>
      <c r="B141" s="58"/>
      <c r="C141" s="60"/>
      <c r="D141" s="77"/>
      <c r="E141" s="60"/>
      <c r="F141" s="132"/>
      <c r="G141" s="64"/>
      <c r="H141" s="65"/>
      <c r="I141" s="66">
        <f t="shared" si="3"/>
        <v>0</v>
      </c>
      <c r="J141" s="76">
        <f t="shared" si="6"/>
        <v>0</v>
      </c>
      <c r="K141" s="68"/>
      <c r="L141" s="66"/>
      <c r="M141" s="66"/>
      <c r="N141" s="66"/>
      <c r="O141" s="66"/>
      <c r="P141" s="66"/>
      <c r="Q141" s="69"/>
      <c r="R141" s="66"/>
      <c r="S141" s="70" t="e">
        <f t="shared" si="5"/>
        <v>#DIV/0!</v>
      </c>
      <c r="T141" s="71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5.5">
      <c r="A142" s="58"/>
      <c r="B142" s="58"/>
      <c r="C142" s="60"/>
      <c r="D142" s="77"/>
      <c r="E142" s="60"/>
      <c r="F142" s="132"/>
      <c r="G142" s="64"/>
      <c r="H142" s="65"/>
      <c r="I142" s="66">
        <f t="shared" si="3"/>
        <v>0</v>
      </c>
      <c r="J142" s="76">
        <f t="shared" si="6"/>
        <v>0</v>
      </c>
      <c r="K142" s="68"/>
      <c r="L142" s="66"/>
      <c r="M142" s="66"/>
      <c r="N142" s="66"/>
      <c r="O142" s="66"/>
      <c r="P142" s="66"/>
      <c r="Q142" s="69"/>
      <c r="R142" s="66"/>
      <c r="S142" s="70" t="e">
        <f t="shared" si="5"/>
        <v>#DIV/0!</v>
      </c>
      <c r="T142" s="71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5.5">
      <c r="A143" s="58"/>
      <c r="B143" s="58"/>
      <c r="C143" s="60"/>
      <c r="D143" s="77"/>
      <c r="E143" s="60"/>
      <c r="F143" s="132"/>
      <c r="G143" s="64"/>
      <c r="H143" s="65"/>
      <c r="I143" s="66">
        <f t="shared" si="3"/>
        <v>0</v>
      </c>
      <c r="J143" s="76">
        <f t="shared" si="6"/>
        <v>0</v>
      </c>
      <c r="K143" s="68"/>
      <c r="L143" s="66"/>
      <c r="M143" s="66"/>
      <c r="N143" s="66"/>
      <c r="O143" s="66"/>
      <c r="P143" s="66"/>
      <c r="Q143" s="69"/>
      <c r="R143" s="66"/>
      <c r="S143" s="70" t="e">
        <f t="shared" si="5"/>
        <v>#DIV/0!</v>
      </c>
      <c r="T143" s="71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5.5">
      <c r="A144" s="58"/>
      <c r="B144" s="58"/>
      <c r="C144" s="60"/>
      <c r="D144" s="77"/>
      <c r="E144" s="60"/>
      <c r="F144" s="132"/>
      <c r="G144" s="64"/>
      <c r="H144" s="65"/>
      <c r="I144" s="66">
        <f t="shared" si="3"/>
        <v>0</v>
      </c>
      <c r="J144" s="76">
        <f t="shared" si="6"/>
        <v>0</v>
      </c>
      <c r="K144" s="68"/>
      <c r="L144" s="66"/>
      <c r="M144" s="66"/>
      <c r="N144" s="66"/>
      <c r="O144" s="66"/>
      <c r="P144" s="66"/>
      <c r="Q144" s="69"/>
      <c r="R144" s="66"/>
      <c r="S144" s="70" t="e">
        <f t="shared" si="5"/>
        <v>#DIV/0!</v>
      </c>
      <c r="T144" s="71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5.5">
      <c r="A145" s="58"/>
      <c r="B145" s="58"/>
      <c r="C145" s="60"/>
      <c r="D145" s="77"/>
      <c r="E145" s="60"/>
      <c r="F145" s="132"/>
      <c r="G145" s="64"/>
      <c r="H145" s="65"/>
      <c r="I145" s="66">
        <f t="shared" si="3"/>
        <v>0</v>
      </c>
      <c r="J145" s="76">
        <f t="shared" si="6"/>
        <v>0</v>
      </c>
      <c r="K145" s="68"/>
      <c r="L145" s="66"/>
      <c r="M145" s="66"/>
      <c r="N145" s="66"/>
      <c r="O145" s="66"/>
      <c r="P145" s="66"/>
      <c r="Q145" s="69"/>
      <c r="R145" s="66"/>
      <c r="S145" s="70" t="e">
        <f t="shared" si="5"/>
        <v>#DIV/0!</v>
      </c>
      <c r="T145" s="71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5.5">
      <c r="A146" s="58"/>
      <c r="B146" s="58"/>
      <c r="C146" s="60"/>
      <c r="D146" s="77"/>
      <c r="E146" s="60"/>
      <c r="F146" s="132"/>
      <c r="G146" s="64"/>
      <c r="H146" s="65"/>
      <c r="I146" s="66">
        <f t="shared" si="3"/>
        <v>0</v>
      </c>
      <c r="J146" s="76">
        <f t="shared" si="6"/>
        <v>0</v>
      </c>
      <c r="K146" s="68"/>
      <c r="L146" s="66"/>
      <c r="M146" s="66"/>
      <c r="N146" s="66"/>
      <c r="O146" s="66"/>
      <c r="P146" s="66"/>
      <c r="Q146" s="69"/>
      <c r="R146" s="66"/>
      <c r="S146" s="70" t="e">
        <f t="shared" si="5"/>
        <v>#DIV/0!</v>
      </c>
      <c r="T146" s="71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6" thickBot="1">
      <c r="A147" s="133"/>
      <c r="B147" s="133"/>
      <c r="C147" s="134"/>
      <c r="D147" s="135"/>
      <c r="E147" s="72"/>
      <c r="F147" s="136"/>
      <c r="G147" s="137"/>
      <c r="H147" s="138"/>
      <c r="I147" s="139"/>
      <c r="J147" s="140"/>
      <c r="K147" s="141"/>
      <c r="L147" s="139"/>
      <c r="M147" s="139"/>
      <c r="N147" s="139"/>
      <c r="O147" s="139"/>
      <c r="P147" s="139"/>
      <c r="Q147" s="142"/>
      <c r="R147" s="139"/>
      <c r="S147" s="143"/>
      <c r="T147" s="144"/>
      <c r="U147" s="134"/>
      <c r="V147" s="134"/>
      <c r="W147" s="134"/>
      <c r="X147" s="134"/>
      <c r="Y147" s="134"/>
      <c r="Z147" s="134"/>
      <c r="AA147" s="134"/>
      <c r="AB147" s="134"/>
      <c r="AC147" s="134"/>
    </row>
  </sheetData>
  <mergeCells count="3">
    <mergeCell ref="A1:G1"/>
    <mergeCell ref="H1:S1"/>
    <mergeCell ref="T1:AC1"/>
  </mergeCells>
  <dataValidations count="2">
    <dataValidation type="list" allowBlank="1" showInputMessage="1" showErrorMessage="1" sqref="C1:C147" xr:uid="{78006CAB-D3E9-4786-A6FE-2ACBAC395442}">
      <formula1>"BR1144,BR9071,HS8078,BR9070,HS8073,BR1109,BR1108,BR9125"</formula1>
    </dataValidation>
    <dataValidation type="list" allowBlank="1" showInputMessage="1" showErrorMessage="1" sqref="B4:B147" xr:uid="{A98579EC-F95D-4E65-83E6-60251F2173CE}">
      <formula1>"KIEM,TAIKIEM"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2473401220041 - Nguyễn Huy Hoàng - 71K30TMDT01</dc:creator>
  <cp:lastModifiedBy>2473401220041 - Nguyễn Huy Hoàng - 71K30TMDT01</cp:lastModifiedBy>
  <dcterms:created xsi:type="dcterms:W3CDTF">2026-03-28T16:34:22Z</dcterms:created>
  <dcterms:modified xsi:type="dcterms:W3CDTF">2026-03-29T16:30:06Z</dcterms:modified>
</cp:coreProperties>
</file>