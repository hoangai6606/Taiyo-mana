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9.2 JESS AND OTHERS\0.3. DAILY REF\JESS DAILY GUIDE\JESS 2026 RECORD\HOÀNG\"/>
    </mc:Choice>
  </mc:AlternateContent>
  <bookViews>
    <workbookView xWindow="-105" yWindow="-105" windowWidth="23250" windowHeight="13890" tabRatio="659" activeTab="1"/>
  </bookViews>
  <sheets>
    <sheet name="Dữ Liệu" sheetId="21" r:id="rId1"/>
    <sheet name="Daily Report" sheetId="18" r:id="rId2"/>
    <sheet name="Cumulative Table" sheetId="19" r:id="rId3"/>
    <sheet name="Sheet3" sheetId="25" r:id="rId4"/>
    <sheet name="DEBIT T&amp;K" sheetId="24" r:id="rId5"/>
    <sheet name="MỤC TIÊU" sheetId="22" r:id="rId6"/>
  </sheets>
  <externalReferences>
    <externalReference r:id="rId7"/>
    <externalReference r:id="rId8"/>
    <externalReference r:id="rId9"/>
  </externalReferences>
  <definedNames>
    <definedName name="_E4110">#REF!</definedName>
    <definedName name="_xlnm._FilterDatabase" localSheetId="2" hidden="1">'Cumulative Table'!#REF!</definedName>
    <definedName name="_xlnm._FilterDatabase" localSheetId="1" hidden="1">'Daily Report'!$A$7:$A$162</definedName>
    <definedName name="_xlnm._FilterDatabase" localSheetId="0" hidden="1">'Dữ Liệu'!$C$1:$C$96</definedName>
    <definedName name="a">#REF!</definedName>
    <definedName name="a1A32">[1]AD24101!$A$31</definedName>
    <definedName name="_xlnm.Extract" localSheetId="2">'Cumulative Table'!#REF!</definedName>
    <definedName name="出荷元">#REF!</definedName>
    <definedName name="出荷方法">#REF!</definedName>
    <definedName name="生地品番">[3]生地・色リスト!$A$2:$A$18</definedName>
    <definedName name="色">[3]生地・色リスト!$C$2:$C$40</definedName>
  </definedNames>
  <calcPr calcId="152511"/>
</workbook>
</file>

<file path=xl/calcChain.xml><?xml version="1.0" encoding="utf-8"?>
<calcChain xmlns="http://schemas.openxmlformats.org/spreadsheetml/2006/main">
  <c r="H32" i="24" l="1"/>
  <c r="H31" i="24"/>
  <c r="J30" i="24"/>
  <c r="H30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5" i="24"/>
  <c r="H14" i="24"/>
  <c r="H13" i="24"/>
  <c r="H12" i="24"/>
  <c r="H11" i="24"/>
  <c r="H10" i="24"/>
  <c r="H9" i="24"/>
  <c r="H33" i="24" s="1"/>
  <c r="H8" i="24"/>
  <c r="H7" i="24"/>
  <c r="H6" i="24"/>
  <c r="H34" i="24" l="1"/>
  <c r="H35" i="24" s="1"/>
  <c r="H36" i="24" s="1"/>
  <c r="Z28" i="19" l="1"/>
  <c r="D108" i="18"/>
  <c r="D109" i="18"/>
  <c r="D110" i="18"/>
  <c r="D111" i="18"/>
  <c r="D112" i="18"/>
  <c r="D113" i="18"/>
  <c r="D102" i="18"/>
  <c r="D103" i="18"/>
  <c r="D104" i="18"/>
  <c r="D105" i="18"/>
  <c r="D106" i="18"/>
  <c r="D107" i="18"/>
  <c r="D100" i="18"/>
  <c r="D101" i="18"/>
  <c r="D98" i="18"/>
  <c r="D99" i="18"/>
  <c r="D94" i="18"/>
  <c r="D95" i="18"/>
  <c r="D96" i="18"/>
  <c r="D97" i="18"/>
  <c r="D90" i="18"/>
  <c r="D91" i="18"/>
  <c r="D92" i="18"/>
  <c r="D93" i="18"/>
  <c r="D89" i="18"/>
  <c r="D88" i="18"/>
  <c r="D85" i="18"/>
  <c r="D86" i="18"/>
  <c r="D87" i="18"/>
  <c r="D81" i="18"/>
  <c r="D82" i="18"/>
  <c r="D83" i="18"/>
  <c r="D84" i="18"/>
  <c r="D80" i="18"/>
  <c r="D79" i="18"/>
  <c r="D78" i="18"/>
  <c r="D77" i="18" l="1"/>
  <c r="X8" i="19" l="1"/>
  <c r="G8" i="19" s="1"/>
  <c r="X9" i="19"/>
  <c r="G9" i="19" s="1"/>
  <c r="X10" i="19"/>
  <c r="G10" i="19" s="1"/>
  <c r="X11" i="19"/>
  <c r="G11" i="19" s="1"/>
  <c r="X12" i="19"/>
  <c r="G12" i="19" s="1"/>
  <c r="X13" i="19"/>
  <c r="G13" i="19" s="1"/>
  <c r="X14" i="19"/>
  <c r="G14" i="19" s="1"/>
  <c r="X15" i="19"/>
  <c r="G15" i="19" s="1"/>
  <c r="X7" i="19"/>
  <c r="H150" i="18"/>
  <c r="G7" i="19" l="1"/>
  <c r="G16" i="19" s="1"/>
  <c r="AB7" i="19"/>
  <c r="X29" i="19"/>
  <c r="X30" i="19"/>
  <c r="X31" i="19"/>
  <c r="X32" i="19"/>
  <c r="X33" i="19"/>
  <c r="X34" i="19"/>
  <c r="X35" i="19"/>
  <c r="X28" i="19"/>
  <c r="C7" i="19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" i="18"/>
  <c r="C28" i="19"/>
  <c r="B7" i="19" l="1"/>
  <c r="F28" i="19"/>
  <c r="F7" i="19"/>
  <c r="X129" i="19"/>
  <c r="X130" i="19"/>
  <c r="X131" i="19"/>
  <c r="X132" i="19"/>
  <c r="X133" i="19"/>
  <c r="X134" i="19"/>
  <c r="X135" i="19"/>
  <c r="X136" i="19"/>
  <c r="X128" i="19"/>
  <c r="X145" i="19"/>
  <c r="V137" i="19"/>
  <c r="M137" i="19"/>
  <c r="L137" i="19"/>
  <c r="K137" i="19"/>
  <c r="F137" i="19"/>
  <c r="N136" i="19"/>
  <c r="N135" i="19"/>
  <c r="N134" i="19"/>
  <c r="N133" i="19"/>
  <c r="N132" i="19"/>
  <c r="N131" i="19"/>
  <c r="N130" i="19"/>
  <c r="N129" i="19"/>
  <c r="N128" i="19"/>
  <c r="C128" i="19"/>
  <c r="B128" i="19"/>
  <c r="N137" i="19" l="1"/>
  <c r="F29" i="19"/>
  <c r="F30" i="19"/>
  <c r="F31" i="19"/>
  <c r="F32" i="19"/>
  <c r="F33" i="19"/>
  <c r="F34" i="19"/>
  <c r="F35" i="19"/>
  <c r="N14" i="19"/>
  <c r="F13" i="19" l="1"/>
  <c r="F11" i="19"/>
  <c r="F8" i="19"/>
  <c r="F15" i="19"/>
  <c r="F14" i="19"/>
  <c r="F12" i="19"/>
  <c r="F9" i="19"/>
  <c r="F10" i="19"/>
  <c r="AD8" i="18"/>
  <c r="AD9" i="18"/>
  <c r="AD10" i="18"/>
  <c r="AD11" i="18"/>
  <c r="AD12" i="18"/>
  <c r="AD13" i="18"/>
  <c r="AD14" i="18"/>
  <c r="AD15" i="18"/>
  <c r="AD16" i="18"/>
  <c r="AD17" i="18"/>
  <c r="AD18" i="18"/>
  <c r="AD19" i="18"/>
  <c r="AD20" i="18"/>
  <c r="AD21" i="18"/>
  <c r="AD22" i="18"/>
  <c r="AD23" i="18"/>
  <c r="AD24" i="18"/>
  <c r="AD25" i="18"/>
  <c r="AD26" i="18"/>
  <c r="AD27" i="18"/>
  <c r="AD28" i="18"/>
  <c r="AD29" i="18"/>
  <c r="AD30" i="18"/>
  <c r="AD31" i="18"/>
  <c r="AD32" i="18"/>
  <c r="AD33" i="18"/>
  <c r="AD34" i="18"/>
  <c r="AD35" i="18"/>
  <c r="AD36" i="18"/>
  <c r="AD37" i="18"/>
  <c r="AD38" i="18"/>
  <c r="AD39" i="18"/>
  <c r="AD40" i="18"/>
  <c r="AD41" i="18"/>
  <c r="AD42" i="18"/>
  <c r="AD43" i="18"/>
  <c r="AD44" i="18"/>
  <c r="AD45" i="18"/>
  <c r="AD46" i="18"/>
  <c r="AD47" i="18"/>
  <c r="AD48" i="18"/>
  <c r="AD49" i="18"/>
  <c r="AD50" i="18"/>
  <c r="AD51" i="18"/>
  <c r="AD52" i="18"/>
  <c r="AD53" i="18"/>
  <c r="AD54" i="18"/>
  <c r="AD55" i="18"/>
  <c r="AD56" i="18"/>
  <c r="AD57" i="18"/>
  <c r="AD58" i="18"/>
  <c r="AD59" i="18"/>
  <c r="AD60" i="18"/>
  <c r="AD61" i="18"/>
  <c r="AD62" i="18"/>
  <c r="AD63" i="18"/>
  <c r="AD64" i="18"/>
  <c r="AD65" i="18"/>
  <c r="AD66" i="18"/>
  <c r="AD67" i="18"/>
  <c r="AD68" i="18"/>
  <c r="AD69" i="18"/>
  <c r="AD70" i="18"/>
  <c r="AD71" i="18"/>
  <c r="AD72" i="18"/>
  <c r="AD73" i="18"/>
  <c r="AD74" i="18"/>
  <c r="AD75" i="18"/>
  <c r="AD76" i="18"/>
  <c r="AD77" i="18"/>
  <c r="H11" i="19" s="1"/>
  <c r="AD78" i="18"/>
  <c r="AD79" i="18"/>
  <c r="AD80" i="18"/>
  <c r="AD81" i="18"/>
  <c r="AD82" i="18"/>
  <c r="AD83" i="18"/>
  <c r="AD84" i="18"/>
  <c r="AD85" i="18"/>
  <c r="AD86" i="18"/>
  <c r="AD87" i="18"/>
  <c r="AD88" i="18"/>
  <c r="AD89" i="18"/>
  <c r="AD90" i="18"/>
  <c r="AD91" i="18"/>
  <c r="AD92" i="18"/>
  <c r="AD93" i="18"/>
  <c r="AD94" i="18"/>
  <c r="AD95" i="18"/>
  <c r="AD96" i="18"/>
  <c r="AD97" i="18"/>
  <c r="AD98" i="18"/>
  <c r="AD99" i="18"/>
  <c r="AD100" i="18"/>
  <c r="AD101" i="18"/>
  <c r="AD102" i="18"/>
  <c r="AD103" i="18"/>
  <c r="AD104" i="18"/>
  <c r="AD105" i="18"/>
  <c r="AD106" i="18"/>
  <c r="AD107" i="18"/>
  <c r="AD108" i="18"/>
  <c r="AD109" i="18"/>
  <c r="AD110" i="18"/>
  <c r="AD111" i="18"/>
  <c r="AD112" i="18"/>
  <c r="AD113" i="18"/>
  <c r="AD114" i="18"/>
  <c r="AD115" i="18"/>
  <c r="AD116" i="18"/>
  <c r="AD117" i="18"/>
  <c r="AD118" i="18"/>
  <c r="AD119" i="18"/>
  <c r="AD120" i="18"/>
  <c r="AD121" i="18"/>
  <c r="AD122" i="18"/>
  <c r="AD123" i="18"/>
  <c r="AD124" i="18"/>
  <c r="AD125" i="18"/>
  <c r="AD126" i="18"/>
  <c r="AD127" i="18"/>
  <c r="AD128" i="18"/>
  <c r="AD129" i="18"/>
  <c r="AD130" i="18"/>
  <c r="AD131" i="18"/>
  <c r="AD132" i="18"/>
  <c r="AD133" i="18"/>
  <c r="AD134" i="18"/>
  <c r="AD135" i="18"/>
  <c r="AD136" i="18"/>
  <c r="AD137" i="18"/>
  <c r="AD138" i="18"/>
  <c r="AD139" i="18"/>
  <c r="AD140" i="18"/>
  <c r="AD141" i="18"/>
  <c r="AD142" i="18"/>
  <c r="AD143" i="18"/>
  <c r="AD144" i="18"/>
  <c r="AD145" i="18"/>
  <c r="AD146" i="18"/>
  <c r="AD147" i="18"/>
  <c r="AD148" i="18"/>
  <c r="AD149" i="18"/>
  <c r="AE8" i="18"/>
  <c r="AE9" i="18"/>
  <c r="AE10" i="18"/>
  <c r="AE11" i="18"/>
  <c r="AE12" i="18"/>
  <c r="AE13" i="18"/>
  <c r="AE14" i="18"/>
  <c r="AE15" i="18"/>
  <c r="AE16" i="18"/>
  <c r="AE17" i="18"/>
  <c r="AE18" i="18"/>
  <c r="AE19" i="18"/>
  <c r="AE20" i="18"/>
  <c r="AE21" i="18"/>
  <c r="AE22" i="18"/>
  <c r="AE23" i="18"/>
  <c r="AE24" i="18"/>
  <c r="AE25" i="18"/>
  <c r="AE26" i="18"/>
  <c r="AE27" i="18"/>
  <c r="AE28" i="18"/>
  <c r="AE29" i="18"/>
  <c r="AE30" i="18"/>
  <c r="AE31" i="18"/>
  <c r="AE32" i="18"/>
  <c r="AE33" i="18"/>
  <c r="AE34" i="18"/>
  <c r="AE35" i="18"/>
  <c r="AE36" i="18"/>
  <c r="AE37" i="18"/>
  <c r="AE38" i="18"/>
  <c r="AE39" i="18"/>
  <c r="AE40" i="18"/>
  <c r="AE41" i="18"/>
  <c r="AE42" i="18"/>
  <c r="AE43" i="18"/>
  <c r="AE44" i="18"/>
  <c r="AE45" i="18"/>
  <c r="AE46" i="18"/>
  <c r="AE47" i="18"/>
  <c r="AE48" i="18"/>
  <c r="AE49" i="18"/>
  <c r="AE50" i="18"/>
  <c r="AE51" i="18"/>
  <c r="AE52" i="18"/>
  <c r="AE53" i="18"/>
  <c r="AE54" i="18"/>
  <c r="AE55" i="18"/>
  <c r="AE56" i="18"/>
  <c r="AE57" i="18"/>
  <c r="AE58" i="18"/>
  <c r="AE59" i="18"/>
  <c r="AE60" i="18"/>
  <c r="AE61" i="18"/>
  <c r="AE62" i="18"/>
  <c r="AE63" i="18"/>
  <c r="AE64" i="18"/>
  <c r="AE65" i="18"/>
  <c r="AE66" i="18"/>
  <c r="AE67" i="18"/>
  <c r="AE68" i="18"/>
  <c r="AE69" i="18"/>
  <c r="AE70" i="18"/>
  <c r="AE71" i="18"/>
  <c r="AE72" i="18"/>
  <c r="AE73" i="18"/>
  <c r="AE74" i="18"/>
  <c r="AE75" i="18"/>
  <c r="AE76" i="18"/>
  <c r="AE77" i="18"/>
  <c r="O12" i="19" s="1"/>
  <c r="AE78" i="18"/>
  <c r="AE79" i="18"/>
  <c r="AE80" i="18"/>
  <c r="AE81" i="18"/>
  <c r="AE82" i="18"/>
  <c r="AE83" i="18"/>
  <c r="AE84" i="18"/>
  <c r="AE85" i="18"/>
  <c r="AE86" i="18"/>
  <c r="AE87" i="18"/>
  <c r="AE88" i="18"/>
  <c r="AE89" i="18"/>
  <c r="AE90" i="18"/>
  <c r="AE91" i="18"/>
  <c r="AE92" i="18"/>
  <c r="AE93" i="18"/>
  <c r="AE94" i="18"/>
  <c r="AE95" i="18"/>
  <c r="AE96" i="18"/>
  <c r="AE97" i="18"/>
  <c r="AE98" i="18"/>
  <c r="AE99" i="18"/>
  <c r="AE100" i="18"/>
  <c r="AE101" i="18"/>
  <c r="AE102" i="18"/>
  <c r="AE103" i="18"/>
  <c r="AE104" i="18"/>
  <c r="AE105" i="18"/>
  <c r="AE106" i="18"/>
  <c r="AE107" i="18"/>
  <c r="AE108" i="18"/>
  <c r="AE109" i="18"/>
  <c r="AE110" i="18"/>
  <c r="AE111" i="18"/>
  <c r="AE112" i="18"/>
  <c r="AE113" i="18"/>
  <c r="AE114" i="18"/>
  <c r="AE115" i="18"/>
  <c r="AE116" i="18"/>
  <c r="AE117" i="18"/>
  <c r="AE118" i="18"/>
  <c r="AE119" i="18"/>
  <c r="AE120" i="18"/>
  <c r="AE121" i="18"/>
  <c r="AE122" i="18"/>
  <c r="AE123" i="18"/>
  <c r="AE124" i="18"/>
  <c r="AE125" i="18"/>
  <c r="AE126" i="18"/>
  <c r="AE127" i="18"/>
  <c r="AE128" i="18"/>
  <c r="AE129" i="18"/>
  <c r="AE130" i="18"/>
  <c r="AE131" i="18"/>
  <c r="AE132" i="18"/>
  <c r="AE133" i="18"/>
  <c r="AE134" i="18"/>
  <c r="AE135" i="18"/>
  <c r="AE136" i="18"/>
  <c r="AE137" i="18"/>
  <c r="AE138" i="18"/>
  <c r="AE139" i="18"/>
  <c r="AE140" i="18"/>
  <c r="AE141" i="18"/>
  <c r="AE142" i="18"/>
  <c r="AE143" i="18"/>
  <c r="AE144" i="18"/>
  <c r="AE145" i="18"/>
  <c r="AE146" i="18"/>
  <c r="AE147" i="18"/>
  <c r="AE148" i="18"/>
  <c r="AE149" i="18"/>
  <c r="AE7" i="18"/>
  <c r="X109" i="19"/>
  <c r="X110" i="19"/>
  <c r="X111" i="19"/>
  <c r="X112" i="19"/>
  <c r="X113" i="19"/>
  <c r="X114" i="19"/>
  <c r="X115" i="19"/>
  <c r="X108" i="19"/>
  <c r="X124" i="19"/>
  <c r="V116" i="19"/>
  <c r="M116" i="19"/>
  <c r="L116" i="19"/>
  <c r="K116" i="19"/>
  <c r="F116" i="19"/>
  <c r="N115" i="19"/>
  <c r="N114" i="19"/>
  <c r="N113" i="19"/>
  <c r="N112" i="19"/>
  <c r="N111" i="19"/>
  <c r="N110" i="19"/>
  <c r="N109" i="19"/>
  <c r="N108" i="19"/>
  <c r="C108" i="19"/>
  <c r="B108" i="19"/>
  <c r="X89" i="19"/>
  <c r="X90" i="19"/>
  <c r="X91" i="19"/>
  <c r="X92" i="19"/>
  <c r="X93" i="19"/>
  <c r="X94" i="19"/>
  <c r="X95" i="19"/>
  <c r="X88" i="19"/>
  <c r="X104" i="19"/>
  <c r="V96" i="19"/>
  <c r="M96" i="19"/>
  <c r="L96" i="19"/>
  <c r="K96" i="19"/>
  <c r="F96" i="19"/>
  <c r="N95" i="19"/>
  <c r="N94" i="19"/>
  <c r="N93" i="19"/>
  <c r="N92" i="19"/>
  <c r="N91" i="19"/>
  <c r="N90" i="19"/>
  <c r="N89" i="19"/>
  <c r="N88" i="19"/>
  <c r="C88" i="19"/>
  <c r="B88" i="19"/>
  <c r="X69" i="19"/>
  <c r="X70" i="19"/>
  <c r="X71" i="19"/>
  <c r="X72" i="19"/>
  <c r="X73" i="19"/>
  <c r="X74" i="19"/>
  <c r="X75" i="19"/>
  <c r="X68" i="19"/>
  <c r="X84" i="19"/>
  <c r="V76" i="19"/>
  <c r="M76" i="19"/>
  <c r="L76" i="19"/>
  <c r="K76" i="19"/>
  <c r="F76" i="19"/>
  <c r="N75" i="19"/>
  <c r="N74" i="19"/>
  <c r="N73" i="19"/>
  <c r="N72" i="19"/>
  <c r="N71" i="19"/>
  <c r="N70" i="19"/>
  <c r="N69" i="19"/>
  <c r="N68" i="19"/>
  <c r="C68" i="19"/>
  <c r="B68" i="19"/>
  <c r="X49" i="19"/>
  <c r="X50" i="19"/>
  <c r="X51" i="19"/>
  <c r="X52" i="19"/>
  <c r="X53" i="19"/>
  <c r="X54" i="19"/>
  <c r="X55" i="19"/>
  <c r="X48" i="19"/>
  <c r="X64" i="19"/>
  <c r="V56" i="19"/>
  <c r="M56" i="19"/>
  <c r="L56" i="19"/>
  <c r="K56" i="19"/>
  <c r="F56" i="19"/>
  <c r="N55" i="19"/>
  <c r="N54" i="19"/>
  <c r="N53" i="19"/>
  <c r="N52" i="19"/>
  <c r="N51" i="19"/>
  <c r="N50" i="19"/>
  <c r="N49" i="19"/>
  <c r="N48" i="19"/>
  <c r="C48" i="19"/>
  <c r="B48" i="19"/>
  <c r="AD7" i="18"/>
  <c r="X44" i="19"/>
  <c r="V36" i="19"/>
  <c r="M36" i="19"/>
  <c r="L36" i="19"/>
  <c r="K36" i="19"/>
  <c r="F36" i="19"/>
  <c r="N35" i="19"/>
  <c r="N34" i="19"/>
  <c r="N33" i="19"/>
  <c r="N32" i="19"/>
  <c r="N31" i="19"/>
  <c r="N30" i="19"/>
  <c r="N29" i="19"/>
  <c r="N28" i="19"/>
  <c r="B28" i="19"/>
  <c r="H8" i="19" l="1"/>
  <c r="U9" i="19"/>
  <c r="T9" i="19"/>
  <c r="H10" i="19"/>
  <c r="P13" i="19"/>
  <c r="O15" i="19"/>
  <c r="O8" i="19"/>
  <c r="R14" i="19"/>
  <c r="S8" i="19"/>
  <c r="P10" i="19"/>
  <c r="P15" i="19"/>
  <c r="S12" i="19"/>
  <c r="Q10" i="19"/>
  <c r="P8" i="19"/>
  <c r="R9" i="19"/>
  <c r="S14" i="19"/>
  <c r="R11" i="19"/>
  <c r="R8" i="19"/>
  <c r="Q8" i="19"/>
  <c r="U15" i="19"/>
  <c r="Q13" i="19"/>
  <c r="Q15" i="19"/>
  <c r="T12" i="19"/>
  <c r="S11" i="19"/>
  <c r="U14" i="19"/>
  <c r="T14" i="19"/>
  <c r="O14" i="19"/>
  <c r="U8" i="19"/>
  <c r="P14" i="19"/>
  <c r="U10" i="19"/>
  <c r="Q12" i="19"/>
  <c r="U13" i="19"/>
  <c r="I15" i="19"/>
  <c r="O9" i="19"/>
  <c r="S13" i="19"/>
  <c r="S15" i="19"/>
  <c r="O7" i="19"/>
  <c r="Q16" i="19"/>
  <c r="U7" i="19"/>
  <c r="S7" i="19"/>
  <c r="T7" i="19"/>
  <c r="R7" i="19"/>
  <c r="Q7" i="19"/>
  <c r="P7" i="19"/>
  <c r="I7" i="19"/>
  <c r="O13" i="19"/>
  <c r="U11" i="19"/>
  <c r="T8" i="19"/>
  <c r="O10" i="19"/>
  <c r="S10" i="19"/>
  <c r="O11" i="19"/>
  <c r="R12" i="19"/>
  <c r="Q9" i="19"/>
  <c r="P9" i="19"/>
  <c r="R13" i="19"/>
  <c r="R15" i="19"/>
  <c r="U12" i="19"/>
  <c r="Q11" i="19"/>
  <c r="R10" i="19"/>
  <c r="T10" i="19"/>
  <c r="P11" i="19"/>
  <c r="T11" i="19"/>
  <c r="Q14" i="19"/>
  <c r="S9" i="19"/>
  <c r="T13" i="19"/>
  <c r="T15" i="19"/>
  <c r="P12" i="19"/>
  <c r="AI29" i="19"/>
  <c r="AH36" i="19"/>
  <c r="AD34" i="19"/>
  <c r="Z32" i="19"/>
  <c r="AI7" i="19"/>
  <c r="AI30" i="19"/>
  <c r="AH28" i="19"/>
  <c r="AD35" i="19"/>
  <c r="Z33" i="19"/>
  <c r="AE29" i="19"/>
  <c r="AD36" i="19"/>
  <c r="Z34" i="19"/>
  <c r="AI32" i="19"/>
  <c r="AE30" i="19"/>
  <c r="AD28" i="19"/>
  <c r="Z35" i="19"/>
  <c r="AI33" i="19"/>
  <c r="AE31" i="19"/>
  <c r="AB29" i="19"/>
  <c r="Z36" i="19"/>
  <c r="AI34" i="19"/>
  <c r="AE32" i="19"/>
  <c r="AB30" i="19"/>
  <c r="AH32" i="19"/>
  <c r="AB28" i="19"/>
  <c r="AH33" i="19"/>
  <c r="Z29" i="19"/>
  <c r="AH34" i="19"/>
  <c r="Z30" i="19"/>
  <c r="AH35" i="19"/>
  <c r="AI15" i="19"/>
  <c r="AI31" i="19"/>
  <c r="AD33" i="19"/>
  <c r="AI35" i="19"/>
  <c r="AE33" i="19"/>
  <c r="AB31" i="19"/>
  <c r="AE12" i="19"/>
  <c r="AI36" i="19"/>
  <c r="AE34" i="19"/>
  <c r="AB32" i="19"/>
  <c r="AI28" i="19"/>
  <c r="AE35" i="19"/>
  <c r="AB33" i="19"/>
  <c r="AI8" i="19"/>
  <c r="AH29" i="19"/>
  <c r="AE36" i="19"/>
  <c r="AB34" i="19"/>
  <c r="AI9" i="19"/>
  <c r="AH30" i="19"/>
  <c r="AE28" i="19"/>
  <c r="AB35" i="19"/>
  <c r="AI10" i="19"/>
  <c r="AH31" i="19"/>
  <c r="AD29" i="19"/>
  <c r="AB36" i="19"/>
  <c r="AI11" i="19"/>
  <c r="AD30" i="19"/>
  <c r="AI12" i="19"/>
  <c r="AD31" i="19"/>
  <c r="AI13" i="19"/>
  <c r="AD32" i="19"/>
  <c r="AI14" i="19"/>
  <c r="Z31" i="19"/>
  <c r="AH7" i="19"/>
  <c r="AH8" i="19"/>
  <c r="AH11" i="19"/>
  <c r="AH14" i="19"/>
  <c r="AH9" i="19"/>
  <c r="G116" i="19"/>
  <c r="AH10" i="19"/>
  <c r="AH15" i="19"/>
  <c r="AH12" i="19"/>
  <c r="AH13" i="19"/>
  <c r="AE11" i="19"/>
  <c r="AB11" i="19"/>
  <c r="AE13" i="19"/>
  <c r="Z8" i="19"/>
  <c r="AB10" i="19"/>
  <c r="Z9" i="19"/>
  <c r="AE10" i="19"/>
  <c r="AB9" i="19"/>
  <c r="AB13" i="19"/>
  <c r="AB8" i="19"/>
  <c r="AE9" i="19"/>
  <c r="AD11" i="19"/>
  <c r="AD7" i="19"/>
  <c r="AD10" i="19"/>
  <c r="AD15" i="19"/>
  <c r="AB15" i="19"/>
  <c r="Z7" i="19"/>
  <c r="Z10" i="19"/>
  <c r="Z15" i="19"/>
  <c r="Z14" i="19"/>
  <c r="AB14" i="19"/>
  <c r="Z13" i="19"/>
  <c r="AD9" i="19"/>
  <c r="Z12" i="19"/>
  <c r="AD8" i="19"/>
  <c r="AB12" i="19"/>
  <c r="Z11" i="19"/>
  <c r="AE14" i="19"/>
  <c r="AD13" i="19"/>
  <c r="AE8" i="19"/>
  <c r="AD12" i="19"/>
  <c r="AE7" i="19"/>
  <c r="AE15" i="19"/>
  <c r="AD14" i="19"/>
  <c r="G28" i="19"/>
  <c r="H7" i="19"/>
  <c r="G115" i="19"/>
  <c r="H9" i="19"/>
  <c r="G109" i="19"/>
  <c r="G114" i="19"/>
  <c r="H13" i="19"/>
  <c r="G112" i="19"/>
  <c r="G111" i="19"/>
  <c r="G110" i="19"/>
  <c r="H14" i="19"/>
  <c r="G113" i="19"/>
  <c r="H15" i="19"/>
  <c r="H12" i="19"/>
  <c r="G108" i="19"/>
  <c r="H108" i="19"/>
  <c r="J134" i="19"/>
  <c r="J135" i="19"/>
  <c r="J130" i="19"/>
  <c r="J129" i="19"/>
  <c r="J136" i="19"/>
  <c r="Q130" i="19"/>
  <c r="P130" i="19"/>
  <c r="P132" i="19"/>
  <c r="S135" i="19"/>
  <c r="O130" i="19"/>
  <c r="T136" i="19"/>
  <c r="R136" i="19"/>
  <c r="Q136" i="19"/>
  <c r="R130" i="19"/>
  <c r="P136" i="19"/>
  <c r="O136" i="19"/>
  <c r="P128" i="19"/>
  <c r="S136" i="19"/>
  <c r="P134" i="19"/>
  <c r="Q132" i="19"/>
  <c r="U133" i="19"/>
  <c r="T135" i="19"/>
  <c r="Q134" i="19"/>
  <c r="Q129" i="19"/>
  <c r="Q135" i="19"/>
  <c r="U134" i="19"/>
  <c r="S134" i="19"/>
  <c r="O131" i="19"/>
  <c r="R135" i="19"/>
  <c r="Q133" i="19"/>
  <c r="R134" i="19"/>
  <c r="R132" i="19"/>
  <c r="O135" i="19"/>
  <c r="T134" i="19"/>
  <c r="U132" i="19"/>
  <c r="Q128" i="19"/>
  <c r="R131" i="19"/>
  <c r="S128" i="19"/>
  <c r="I128" i="19"/>
  <c r="T131" i="19"/>
  <c r="Q131" i="19"/>
  <c r="U135" i="19"/>
  <c r="P133" i="19"/>
  <c r="R133" i="19"/>
  <c r="O129" i="19"/>
  <c r="S133" i="19"/>
  <c r="I133" i="19"/>
  <c r="T129" i="19"/>
  <c r="S132" i="19"/>
  <c r="T133" i="19"/>
  <c r="P135" i="19"/>
  <c r="S130" i="19"/>
  <c r="U129" i="19"/>
  <c r="O132" i="19"/>
  <c r="U131" i="19"/>
  <c r="S131" i="19"/>
  <c r="P129" i="19"/>
  <c r="R128" i="19"/>
  <c r="U130" i="19"/>
  <c r="R129" i="19"/>
  <c r="S129" i="19"/>
  <c r="P131" i="19"/>
  <c r="T128" i="19"/>
  <c r="I129" i="19"/>
  <c r="U128" i="19"/>
  <c r="I130" i="19"/>
  <c r="U136" i="19"/>
  <c r="O133" i="19"/>
  <c r="O128" i="19"/>
  <c r="I132" i="19"/>
  <c r="T130" i="19"/>
  <c r="I134" i="19"/>
  <c r="I135" i="19"/>
  <c r="O134" i="19"/>
  <c r="I136" i="19"/>
  <c r="T132" i="19"/>
  <c r="J133" i="19"/>
  <c r="J132" i="19"/>
  <c r="J131" i="19"/>
  <c r="J128" i="19"/>
  <c r="Z133" i="19"/>
  <c r="H131" i="19"/>
  <c r="Z134" i="19"/>
  <c r="H132" i="19"/>
  <c r="Z135" i="19"/>
  <c r="H133" i="19"/>
  <c r="Z136" i="19"/>
  <c r="H134" i="19"/>
  <c r="G128" i="19"/>
  <c r="H135" i="19"/>
  <c r="G131" i="19"/>
  <c r="G132" i="19"/>
  <c r="G134" i="19"/>
  <c r="G135" i="19"/>
  <c r="G136" i="19"/>
  <c r="Z130" i="19"/>
  <c r="H129" i="19"/>
  <c r="H130" i="19"/>
  <c r="G129" i="19"/>
  <c r="H136" i="19"/>
  <c r="G130" i="19"/>
  <c r="G133" i="19"/>
  <c r="Z128" i="19"/>
  <c r="Z129" i="19"/>
  <c r="H128" i="19"/>
  <c r="Z131" i="19"/>
  <c r="Z132" i="19"/>
  <c r="J14" i="19"/>
  <c r="N96" i="19"/>
  <c r="T49" i="19"/>
  <c r="R49" i="19"/>
  <c r="P48" i="19"/>
  <c r="P29" i="19"/>
  <c r="T52" i="19"/>
  <c r="P32" i="19"/>
  <c r="R53" i="19"/>
  <c r="P33" i="19"/>
  <c r="R54" i="19"/>
  <c r="P34" i="19"/>
  <c r="Q54" i="19"/>
  <c r="T50" i="19"/>
  <c r="R50" i="19"/>
  <c r="O49" i="19"/>
  <c r="P30" i="19"/>
  <c r="T51" i="19"/>
  <c r="R51" i="19"/>
  <c r="O50" i="19"/>
  <c r="P31" i="19"/>
  <c r="R52" i="19"/>
  <c r="O51" i="19"/>
  <c r="T53" i="19"/>
  <c r="O52" i="19"/>
  <c r="T54" i="19"/>
  <c r="O53" i="19"/>
  <c r="S54" i="19"/>
  <c r="O34" i="19"/>
  <c r="Q55" i="19"/>
  <c r="O35" i="19"/>
  <c r="Q48" i="19"/>
  <c r="O28" i="19"/>
  <c r="T55" i="19"/>
  <c r="R55" i="19"/>
  <c r="O54" i="19"/>
  <c r="P35" i="19"/>
  <c r="T48" i="19"/>
  <c r="R48" i="19"/>
  <c r="O55" i="19"/>
  <c r="P28" i="19"/>
  <c r="S49" i="19"/>
  <c r="Q49" i="19"/>
  <c r="O48" i="19"/>
  <c r="O29" i="19"/>
  <c r="S50" i="19"/>
  <c r="Q50" i="19"/>
  <c r="P49" i="19"/>
  <c r="O30" i="19"/>
  <c r="S51" i="19"/>
  <c r="Q51" i="19"/>
  <c r="P50" i="19"/>
  <c r="O31" i="19"/>
  <c r="S52" i="19"/>
  <c r="Q52" i="19"/>
  <c r="P51" i="19"/>
  <c r="O32" i="19"/>
  <c r="S53" i="19"/>
  <c r="Q53" i="19"/>
  <c r="P52" i="19"/>
  <c r="O33" i="19"/>
  <c r="P53" i="19"/>
  <c r="S55" i="19"/>
  <c r="P54" i="19"/>
  <c r="S48" i="19"/>
  <c r="P55" i="19"/>
  <c r="R113" i="19"/>
  <c r="J72" i="19"/>
  <c r="J110" i="19"/>
  <c r="R70" i="19"/>
  <c r="O115" i="19"/>
  <c r="O69" i="19"/>
  <c r="J71" i="19"/>
  <c r="J30" i="19"/>
  <c r="J93" i="19"/>
  <c r="J29" i="19"/>
  <c r="J91" i="19"/>
  <c r="G89" i="19"/>
  <c r="H89" i="19"/>
  <c r="H71" i="19"/>
  <c r="H90" i="19"/>
  <c r="P115" i="19"/>
  <c r="P92" i="19"/>
  <c r="U111" i="19"/>
  <c r="G91" i="19"/>
  <c r="G71" i="19"/>
  <c r="H55" i="19"/>
  <c r="G51" i="19"/>
  <c r="G90" i="19"/>
  <c r="H75" i="19"/>
  <c r="H52" i="19"/>
  <c r="H50" i="19"/>
  <c r="G74" i="19"/>
  <c r="H109" i="19"/>
  <c r="H70" i="19"/>
  <c r="H110" i="19"/>
  <c r="H112" i="19"/>
  <c r="H72" i="19"/>
  <c r="G70" i="19"/>
  <c r="H92" i="19"/>
  <c r="G95" i="19"/>
  <c r="G55" i="19"/>
  <c r="N36" i="19"/>
  <c r="I93" i="19"/>
  <c r="H95" i="19"/>
  <c r="O75" i="19"/>
  <c r="R91" i="19"/>
  <c r="H69" i="19"/>
  <c r="J109" i="19"/>
  <c r="J70" i="19"/>
  <c r="J53" i="19"/>
  <c r="U74" i="19"/>
  <c r="H51" i="19"/>
  <c r="Q113" i="19"/>
  <c r="N56" i="19"/>
  <c r="N76" i="19"/>
  <c r="G69" i="19"/>
  <c r="J73" i="19"/>
  <c r="N116" i="19"/>
  <c r="J111" i="19"/>
  <c r="O112" i="19"/>
  <c r="O70" i="19"/>
  <c r="J34" i="19"/>
  <c r="J94" i="19"/>
  <c r="J74" i="19"/>
  <c r="J52" i="19"/>
  <c r="J33" i="19"/>
  <c r="O92" i="19"/>
  <c r="J69" i="19"/>
  <c r="R110" i="19"/>
  <c r="J115" i="19"/>
  <c r="O114" i="19"/>
  <c r="J51" i="19"/>
  <c r="G75" i="19"/>
  <c r="J113" i="19"/>
  <c r="J32" i="19"/>
  <c r="R74" i="19"/>
  <c r="R69" i="19"/>
  <c r="U70" i="19"/>
  <c r="P72" i="19"/>
  <c r="T74" i="19"/>
  <c r="J90" i="19"/>
  <c r="S91" i="19"/>
  <c r="I109" i="19"/>
  <c r="P110" i="19"/>
  <c r="I112" i="19"/>
  <c r="I113" i="19"/>
  <c r="T91" i="19"/>
  <c r="J112" i="19"/>
  <c r="R72" i="19"/>
  <c r="O88" i="19"/>
  <c r="O90" i="19"/>
  <c r="J50" i="19"/>
  <c r="Q94" i="19"/>
  <c r="O109" i="19"/>
  <c r="T110" i="19"/>
  <c r="S114" i="19"/>
  <c r="J35" i="19"/>
  <c r="Q90" i="19"/>
  <c r="T93" i="19"/>
  <c r="P109" i="19"/>
  <c r="U110" i="19"/>
  <c r="P112" i="19"/>
  <c r="T114" i="19"/>
  <c r="O71" i="19"/>
  <c r="O73" i="19"/>
  <c r="Q74" i="19"/>
  <c r="O89" i="19"/>
  <c r="R90" i="19"/>
  <c r="U92" i="19"/>
  <c r="Q109" i="19"/>
  <c r="S112" i="19"/>
  <c r="U114" i="19"/>
  <c r="U108" i="19"/>
  <c r="S74" i="19"/>
  <c r="S113" i="19"/>
  <c r="Q69" i="19"/>
  <c r="U69" i="19"/>
  <c r="U55" i="19"/>
  <c r="J31" i="19"/>
  <c r="S70" i="19"/>
  <c r="Q91" i="19"/>
  <c r="T113" i="19"/>
  <c r="Q72" i="19"/>
  <c r="Q110" i="19"/>
  <c r="T69" i="19"/>
  <c r="U91" i="19"/>
  <c r="S110" i="19"/>
  <c r="U51" i="19"/>
  <c r="Q68" i="19"/>
  <c r="I92" i="19"/>
  <c r="J54" i="19"/>
  <c r="R71" i="19"/>
  <c r="P75" i="19"/>
  <c r="P89" i="19"/>
  <c r="R109" i="19"/>
  <c r="J114" i="19"/>
  <c r="I115" i="19"/>
  <c r="S71" i="19"/>
  <c r="Q75" i="19"/>
  <c r="T90" i="19"/>
  <c r="P95" i="19"/>
  <c r="S109" i="19"/>
  <c r="R73" i="19"/>
  <c r="R89" i="19"/>
  <c r="Q95" i="19"/>
  <c r="T109" i="19"/>
  <c r="U71" i="19"/>
  <c r="S73" i="19"/>
  <c r="S75" i="19"/>
  <c r="S89" i="19"/>
  <c r="U109" i="19"/>
  <c r="P111" i="19"/>
  <c r="O113" i="19"/>
  <c r="S69" i="19"/>
  <c r="S94" i="19"/>
  <c r="I71" i="19"/>
  <c r="T94" i="19"/>
  <c r="J89" i="19"/>
  <c r="J95" i="19"/>
  <c r="P90" i="19"/>
  <c r="P73" i="19"/>
  <c r="I73" i="19"/>
  <c r="S90" i="19"/>
  <c r="P91" i="19"/>
  <c r="Q73" i="19"/>
  <c r="Q89" i="19"/>
  <c r="R114" i="19"/>
  <c r="U50" i="19"/>
  <c r="T71" i="19"/>
  <c r="Q71" i="19"/>
  <c r="Q92" i="19"/>
  <c r="P70" i="19"/>
  <c r="T75" i="19"/>
  <c r="T89" i="19"/>
  <c r="Q111" i="19"/>
  <c r="P113" i="19"/>
  <c r="S111" i="19"/>
  <c r="U52" i="19"/>
  <c r="P69" i="19"/>
  <c r="T70" i="19"/>
  <c r="I89" i="19"/>
  <c r="R75" i="19"/>
  <c r="U90" i="19"/>
  <c r="J55" i="19"/>
  <c r="Q70" i="19"/>
  <c r="U89" i="19"/>
  <c r="T111" i="19"/>
  <c r="O110" i="19"/>
  <c r="H111" i="19"/>
  <c r="Q112" i="19"/>
  <c r="Q115" i="19"/>
  <c r="I110" i="19"/>
  <c r="O111" i="19"/>
  <c r="R112" i="19"/>
  <c r="R115" i="19"/>
  <c r="S115" i="19"/>
  <c r="T115" i="19"/>
  <c r="R111" i="19"/>
  <c r="U112" i="19"/>
  <c r="Q114" i="19"/>
  <c r="U115" i="19"/>
  <c r="T112" i="19"/>
  <c r="P114" i="19"/>
  <c r="P108" i="19"/>
  <c r="U113" i="19"/>
  <c r="Q108" i="19"/>
  <c r="S108" i="19"/>
  <c r="H115" i="19"/>
  <c r="R108" i="19"/>
  <c r="T108" i="19"/>
  <c r="H114" i="19"/>
  <c r="I108" i="19"/>
  <c r="J108" i="19"/>
  <c r="O108" i="19"/>
  <c r="H113" i="19"/>
  <c r="I114" i="19"/>
  <c r="R94" i="19"/>
  <c r="R95" i="19"/>
  <c r="O93" i="19"/>
  <c r="S95" i="19"/>
  <c r="P93" i="19"/>
  <c r="T95" i="19"/>
  <c r="Q93" i="19"/>
  <c r="J92" i="19"/>
  <c r="R93" i="19"/>
  <c r="S93" i="19"/>
  <c r="O95" i="19"/>
  <c r="H91" i="19"/>
  <c r="O91" i="19"/>
  <c r="S92" i="19"/>
  <c r="P94" i="19"/>
  <c r="U95" i="19"/>
  <c r="R92" i="19"/>
  <c r="O94" i="19"/>
  <c r="G88" i="19"/>
  <c r="U94" i="19"/>
  <c r="P88" i="19"/>
  <c r="T92" i="19"/>
  <c r="U93" i="19"/>
  <c r="H88" i="19"/>
  <c r="I88" i="19"/>
  <c r="J88" i="19"/>
  <c r="Q88" i="19"/>
  <c r="R88" i="19"/>
  <c r="G93" i="19"/>
  <c r="H94" i="19"/>
  <c r="I95" i="19"/>
  <c r="S88" i="19"/>
  <c r="G94" i="19"/>
  <c r="T88" i="19"/>
  <c r="U88" i="19"/>
  <c r="G92" i="19"/>
  <c r="H93" i="19"/>
  <c r="I94" i="19"/>
  <c r="T73" i="19"/>
  <c r="O72" i="19"/>
  <c r="S72" i="19"/>
  <c r="O74" i="19"/>
  <c r="P71" i="19"/>
  <c r="T72" i="19"/>
  <c r="P74" i="19"/>
  <c r="U75" i="19"/>
  <c r="J68" i="19"/>
  <c r="U73" i="19"/>
  <c r="U72" i="19"/>
  <c r="G68" i="19"/>
  <c r="I68" i="19"/>
  <c r="H68" i="19"/>
  <c r="R68" i="19"/>
  <c r="G73" i="19"/>
  <c r="H74" i="19"/>
  <c r="I75" i="19"/>
  <c r="O68" i="19"/>
  <c r="S68" i="19"/>
  <c r="T68" i="19"/>
  <c r="U68" i="19"/>
  <c r="G72" i="19"/>
  <c r="H73" i="19"/>
  <c r="I74" i="19"/>
  <c r="J75" i="19"/>
  <c r="P68" i="19"/>
  <c r="J49" i="19"/>
  <c r="U49" i="19"/>
  <c r="G50" i="19"/>
  <c r="G49" i="19"/>
  <c r="H49" i="19"/>
  <c r="G48" i="19"/>
  <c r="U54" i="19"/>
  <c r="U53" i="19"/>
  <c r="H48" i="19"/>
  <c r="J48" i="19"/>
  <c r="G54" i="19"/>
  <c r="U48" i="19"/>
  <c r="G52" i="19"/>
  <c r="H53" i="19"/>
  <c r="G53" i="19"/>
  <c r="H54" i="19"/>
  <c r="Q29" i="19"/>
  <c r="Q35" i="19"/>
  <c r="R34" i="19"/>
  <c r="U32" i="19"/>
  <c r="R35" i="19"/>
  <c r="S35" i="19"/>
  <c r="Q31" i="19"/>
  <c r="Q33" i="19"/>
  <c r="R33" i="19"/>
  <c r="J7" i="19"/>
  <c r="U31" i="19"/>
  <c r="T33" i="19"/>
  <c r="Q32" i="19"/>
  <c r="U30" i="19"/>
  <c r="R32" i="19"/>
  <c r="U35" i="19"/>
  <c r="T29" i="19"/>
  <c r="R31" i="19"/>
  <c r="S33" i="19"/>
  <c r="R29" i="19"/>
  <c r="S29" i="19"/>
  <c r="T35" i="19"/>
  <c r="U29" i="19"/>
  <c r="S31" i="19"/>
  <c r="T31" i="19"/>
  <c r="Q30" i="19"/>
  <c r="R30" i="19"/>
  <c r="S34" i="19"/>
  <c r="S30" i="19"/>
  <c r="T34" i="19"/>
  <c r="T30" i="19"/>
  <c r="H31" i="19"/>
  <c r="G35" i="19"/>
  <c r="G29" i="19"/>
  <c r="H35" i="19"/>
  <c r="H29" i="19"/>
  <c r="G31" i="19"/>
  <c r="H32" i="19"/>
  <c r="G30" i="19"/>
  <c r="H30" i="19"/>
  <c r="S32" i="19"/>
  <c r="Q34" i="19"/>
  <c r="U34" i="19"/>
  <c r="T32" i="19"/>
  <c r="U33" i="19"/>
  <c r="I28" i="19"/>
  <c r="R28" i="19"/>
  <c r="S28" i="19"/>
  <c r="H28" i="19"/>
  <c r="J28" i="19"/>
  <c r="Q28" i="19"/>
  <c r="G33" i="19"/>
  <c r="H34" i="19"/>
  <c r="I35" i="19"/>
  <c r="G34" i="19"/>
  <c r="T28" i="19"/>
  <c r="U28" i="19"/>
  <c r="G32" i="19"/>
  <c r="H33" i="19"/>
  <c r="W134" i="19" l="1"/>
  <c r="W135" i="19"/>
  <c r="W136" i="19"/>
  <c r="W132" i="19"/>
  <c r="H137" i="19"/>
  <c r="W128" i="19"/>
  <c r="G137" i="19"/>
  <c r="R137" i="19"/>
  <c r="W133" i="19"/>
  <c r="O137" i="19"/>
  <c r="S137" i="19"/>
  <c r="W130" i="19"/>
  <c r="W129" i="19"/>
  <c r="W131" i="19"/>
  <c r="Q137" i="19"/>
  <c r="J137" i="19"/>
  <c r="U137" i="19"/>
  <c r="P137" i="19"/>
  <c r="T137" i="19"/>
  <c r="W70" i="19"/>
  <c r="W14" i="19"/>
  <c r="W109" i="19"/>
  <c r="S56" i="19"/>
  <c r="W89" i="19"/>
  <c r="W92" i="19"/>
  <c r="W90" i="19"/>
  <c r="W71" i="19"/>
  <c r="W72" i="19"/>
  <c r="W51" i="19"/>
  <c r="W55" i="19"/>
  <c r="W111" i="19"/>
  <c r="W75" i="19"/>
  <c r="W50" i="19"/>
  <c r="W52" i="19"/>
  <c r="W91" i="19"/>
  <c r="W110" i="19"/>
  <c r="W74" i="19"/>
  <c r="W112" i="19"/>
  <c r="W95" i="19"/>
  <c r="W115" i="19"/>
  <c r="W69" i="19"/>
  <c r="Q76" i="19"/>
  <c r="R76" i="19"/>
  <c r="J116" i="19"/>
  <c r="W29" i="19"/>
  <c r="J96" i="19"/>
  <c r="W114" i="19"/>
  <c r="P76" i="19"/>
  <c r="R116" i="19"/>
  <c r="U116" i="19"/>
  <c r="J36" i="19"/>
  <c r="O76" i="19"/>
  <c r="S76" i="19"/>
  <c r="T116" i="19"/>
  <c r="S116" i="19"/>
  <c r="Q116" i="19"/>
  <c r="P116" i="19"/>
  <c r="O116" i="19"/>
  <c r="W108" i="19"/>
  <c r="H116" i="19"/>
  <c r="W113" i="19"/>
  <c r="O96" i="19"/>
  <c r="S96" i="19"/>
  <c r="R96" i="19"/>
  <c r="Q96" i="19"/>
  <c r="P96" i="19"/>
  <c r="W94" i="19"/>
  <c r="W88" i="19"/>
  <c r="H96" i="19"/>
  <c r="W93" i="19"/>
  <c r="U96" i="19"/>
  <c r="G96" i="19"/>
  <c r="T96" i="19"/>
  <c r="T76" i="19"/>
  <c r="U76" i="19"/>
  <c r="W68" i="19"/>
  <c r="H76" i="19"/>
  <c r="J76" i="19"/>
  <c r="G76" i="19"/>
  <c r="W73" i="19"/>
  <c r="W49" i="19"/>
  <c r="J56" i="19"/>
  <c r="O56" i="19"/>
  <c r="W54" i="19"/>
  <c r="T56" i="19"/>
  <c r="Q56" i="19"/>
  <c r="P56" i="19"/>
  <c r="W53" i="19"/>
  <c r="U56" i="19"/>
  <c r="W48" i="19"/>
  <c r="H56" i="19"/>
  <c r="R56" i="19"/>
  <c r="G56" i="19"/>
  <c r="O36" i="19"/>
  <c r="S36" i="19"/>
  <c r="R36" i="19"/>
  <c r="P36" i="19"/>
  <c r="W31" i="19"/>
  <c r="W35" i="19"/>
  <c r="W30" i="19"/>
  <c r="W32" i="19"/>
  <c r="Q36" i="19"/>
  <c r="G36" i="19"/>
  <c r="W28" i="19"/>
  <c r="H36" i="19"/>
  <c r="W34" i="19"/>
  <c r="U36" i="19"/>
  <c r="W33" i="19"/>
  <c r="T36" i="19"/>
  <c r="W137" i="19" l="1"/>
  <c r="W56" i="19"/>
  <c r="W116" i="19"/>
  <c r="W96" i="19"/>
  <c r="W76" i="19"/>
  <c r="W36" i="19"/>
  <c r="J7" i="18" l="1"/>
  <c r="I7" i="18" s="1"/>
  <c r="J8" i="18"/>
  <c r="I8" i="18" s="1"/>
  <c r="J9" i="18"/>
  <c r="I9" i="18" s="1"/>
  <c r="J10" i="18"/>
  <c r="I10" i="18" s="1"/>
  <c r="J11" i="18"/>
  <c r="I11" i="18" s="1"/>
  <c r="J12" i="18"/>
  <c r="I12" i="18" s="1"/>
  <c r="J13" i="18"/>
  <c r="I13" i="18" s="1"/>
  <c r="I69" i="19" s="1"/>
  <c r="J14" i="18"/>
  <c r="I14" i="18" s="1"/>
  <c r="I70" i="19" s="1"/>
  <c r="J15" i="18"/>
  <c r="I15" i="18" s="1"/>
  <c r="I72" i="19" s="1"/>
  <c r="J16" i="18"/>
  <c r="I16" i="18" s="1"/>
  <c r="I90" i="19" s="1"/>
  <c r="J17" i="18"/>
  <c r="I17" i="18" s="1"/>
  <c r="I91" i="19" s="1"/>
  <c r="J18" i="18"/>
  <c r="I18" i="18" s="1"/>
  <c r="J19" i="18"/>
  <c r="I19" i="18" s="1"/>
  <c r="J20" i="18"/>
  <c r="I20" i="18" s="1"/>
  <c r="J21" i="18"/>
  <c r="I21" i="18" s="1"/>
  <c r="J22" i="18"/>
  <c r="I22" i="18" s="1"/>
  <c r="J23" i="18"/>
  <c r="I23" i="18" s="1"/>
  <c r="J24" i="18"/>
  <c r="I24" i="18" s="1"/>
  <c r="J25" i="18"/>
  <c r="I25" i="18" s="1"/>
  <c r="J26" i="18"/>
  <c r="I26" i="18" s="1"/>
  <c r="J27" i="18"/>
  <c r="I27" i="18" s="1"/>
  <c r="J28" i="18"/>
  <c r="I28" i="18" s="1"/>
  <c r="J29" i="18"/>
  <c r="I29" i="18" s="1"/>
  <c r="J30" i="18"/>
  <c r="I30" i="18" s="1"/>
  <c r="J31" i="18"/>
  <c r="I31" i="18" s="1"/>
  <c r="J32" i="18"/>
  <c r="I32" i="18" s="1"/>
  <c r="J33" i="18"/>
  <c r="I33" i="18" s="1"/>
  <c r="J34" i="18"/>
  <c r="I34" i="18" s="1"/>
  <c r="J35" i="18"/>
  <c r="I35" i="18" s="1"/>
  <c r="J36" i="18"/>
  <c r="I36" i="18" s="1"/>
  <c r="J37" i="18"/>
  <c r="I37" i="18" s="1"/>
  <c r="J38" i="18"/>
  <c r="I38" i="18" s="1"/>
  <c r="J39" i="18"/>
  <c r="I39" i="18" s="1"/>
  <c r="J40" i="18"/>
  <c r="I40" i="18" s="1"/>
  <c r="J41" i="18"/>
  <c r="I41" i="18" s="1"/>
  <c r="J42" i="18"/>
  <c r="I42" i="18" s="1"/>
  <c r="J43" i="18"/>
  <c r="I43" i="18" s="1"/>
  <c r="J44" i="18"/>
  <c r="I44" i="18" s="1"/>
  <c r="J45" i="18"/>
  <c r="I45" i="18" s="1"/>
  <c r="J46" i="18"/>
  <c r="I46" i="18" s="1"/>
  <c r="J47" i="18"/>
  <c r="I47" i="18" s="1"/>
  <c r="J48" i="18"/>
  <c r="I48" i="18" s="1"/>
  <c r="J49" i="18"/>
  <c r="I49" i="18" s="1"/>
  <c r="J50" i="18"/>
  <c r="I50" i="18" s="1"/>
  <c r="J51" i="18"/>
  <c r="I51" i="18" s="1"/>
  <c r="J52" i="18"/>
  <c r="I52" i="18" s="1"/>
  <c r="J53" i="18"/>
  <c r="I53" i="18" s="1"/>
  <c r="J54" i="18"/>
  <c r="I54" i="18" s="1"/>
  <c r="J55" i="18"/>
  <c r="I55" i="18" s="1"/>
  <c r="J56" i="18"/>
  <c r="I56" i="18" s="1"/>
  <c r="J57" i="18"/>
  <c r="I57" i="18" s="1"/>
  <c r="J58" i="18"/>
  <c r="I58" i="18" s="1"/>
  <c r="J59" i="18"/>
  <c r="I59" i="18" s="1"/>
  <c r="J60" i="18"/>
  <c r="I60" i="18" s="1"/>
  <c r="J61" i="18"/>
  <c r="I61" i="18" s="1"/>
  <c r="J62" i="18"/>
  <c r="I62" i="18" s="1"/>
  <c r="J63" i="18"/>
  <c r="I63" i="18" s="1"/>
  <c r="J64" i="18"/>
  <c r="I64" i="18" s="1"/>
  <c r="J65" i="18"/>
  <c r="I65" i="18" s="1"/>
  <c r="J66" i="18"/>
  <c r="I66" i="18" s="1"/>
  <c r="I53" i="19" s="1"/>
  <c r="J67" i="18"/>
  <c r="I67" i="18" s="1"/>
  <c r="J68" i="18"/>
  <c r="I68" i="18" s="1"/>
  <c r="I55" i="19" s="1"/>
  <c r="J69" i="18"/>
  <c r="I69" i="18" s="1"/>
  <c r="J70" i="18"/>
  <c r="I70" i="18" s="1"/>
  <c r="J71" i="18"/>
  <c r="I71" i="18" s="1"/>
  <c r="J72" i="18"/>
  <c r="I72" i="18" s="1"/>
  <c r="J73" i="18"/>
  <c r="I73" i="18" s="1"/>
  <c r="J74" i="18"/>
  <c r="I74" i="18" s="1"/>
  <c r="J75" i="18"/>
  <c r="S75" i="18" s="1"/>
  <c r="J76" i="18"/>
  <c r="I76" i="18" s="1"/>
  <c r="J77" i="18"/>
  <c r="S77" i="18" s="1"/>
  <c r="J78" i="18"/>
  <c r="S78" i="18" s="1"/>
  <c r="J79" i="18"/>
  <c r="I79" i="18" s="1"/>
  <c r="J80" i="18"/>
  <c r="S80" i="18" s="1"/>
  <c r="J81" i="18"/>
  <c r="I81" i="18" s="1"/>
  <c r="J82" i="18"/>
  <c r="I82" i="18" s="1"/>
  <c r="J83" i="18"/>
  <c r="I83" i="18" s="1"/>
  <c r="J84" i="18"/>
  <c r="I84" i="18" s="1"/>
  <c r="J85" i="18"/>
  <c r="S85" i="18" s="1"/>
  <c r="J86" i="18"/>
  <c r="I86" i="18" s="1"/>
  <c r="I10" i="19" s="1"/>
  <c r="J87" i="18"/>
  <c r="I87" i="18" s="1"/>
  <c r="J88" i="18"/>
  <c r="I88" i="18" s="1"/>
  <c r="J89" i="18"/>
  <c r="I89" i="18" s="1"/>
  <c r="J90" i="18"/>
  <c r="I90" i="18" s="1"/>
  <c r="J91" i="18"/>
  <c r="S91" i="18" s="1"/>
  <c r="J92" i="18"/>
  <c r="I92" i="18" s="1"/>
  <c r="J93" i="18"/>
  <c r="S93" i="18" s="1"/>
  <c r="J94" i="18"/>
  <c r="I94" i="18" s="1"/>
  <c r="J95" i="18"/>
  <c r="I95" i="18" s="1"/>
  <c r="J96" i="18"/>
  <c r="I96" i="18" s="1"/>
  <c r="J97" i="18"/>
  <c r="I97" i="18" s="1"/>
  <c r="J98" i="18"/>
  <c r="I98" i="18" s="1"/>
  <c r="J99" i="18"/>
  <c r="I99" i="18" s="1"/>
  <c r="J100" i="18"/>
  <c r="I100" i="18" s="1"/>
  <c r="J101" i="18"/>
  <c r="S101" i="18" s="1"/>
  <c r="J102" i="18"/>
  <c r="S102" i="18" s="1"/>
  <c r="J103" i="18"/>
  <c r="I103" i="18" s="1"/>
  <c r="J104" i="18"/>
  <c r="I104" i="18" s="1"/>
  <c r="J105" i="18"/>
  <c r="I105" i="18" s="1"/>
  <c r="I12" i="19" s="1"/>
  <c r="J106" i="18"/>
  <c r="I106" i="18" s="1"/>
  <c r="J107" i="18"/>
  <c r="S107" i="18" s="1"/>
  <c r="J108" i="18"/>
  <c r="I108" i="18" s="1"/>
  <c r="J109" i="18"/>
  <c r="I109" i="18" s="1"/>
  <c r="J110" i="18"/>
  <c r="I110" i="18" s="1"/>
  <c r="J111" i="18"/>
  <c r="I111" i="18" s="1"/>
  <c r="J112" i="18"/>
  <c r="I112" i="18" s="1"/>
  <c r="J113" i="18"/>
  <c r="S113" i="18" s="1"/>
  <c r="J114" i="18"/>
  <c r="S114" i="18" s="1"/>
  <c r="J115" i="18"/>
  <c r="I115" i="18" s="1"/>
  <c r="J116" i="18"/>
  <c r="I116" i="18" s="1"/>
  <c r="J117" i="18"/>
  <c r="S117" i="18" s="1"/>
  <c r="J118" i="18"/>
  <c r="S118" i="18" s="1"/>
  <c r="J119" i="18"/>
  <c r="I119" i="18" s="1"/>
  <c r="J120" i="18"/>
  <c r="I120" i="18" s="1"/>
  <c r="J121" i="18"/>
  <c r="I121" i="18" s="1"/>
  <c r="J122" i="18"/>
  <c r="I122" i="18" s="1"/>
  <c r="J123" i="18"/>
  <c r="S123" i="18" s="1"/>
  <c r="J124" i="18"/>
  <c r="S124" i="18" s="1"/>
  <c r="J125" i="18"/>
  <c r="I125" i="18" s="1"/>
  <c r="J126" i="18"/>
  <c r="I126" i="18" s="1"/>
  <c r="J127" i="18"/>
  <c r="I127" i="18" s="1"/>
  <c r="J128" i="18"/>
  <c r="I128" i="18" s="1"/>
  <c r="J129" i="18"/>
  <c r="S129" i="18" s="1"/>
  <c r="J130" i="18"/>
  <c r="S130" i="18" s="1"/>
  <c r="J131" i="18"/>
  <c r="I131" i="18" s="1"/>
  <c r="J132" i="18"/>
  <c r="S132" i="18" s="1"/>
  <c r="J133" i="18"/>
  <c r="S133" i="18" s="1"/>
  <c r="J134" i="18"/>
  <c r="I134" i="18" s="1"/>
  <c r="I13" i="19" l="1"/>
  <c r="I9" i="19"/>
  <c r="I111" i="19"/>
  <c r="I116" i="19" s="1"/>
  <c r="I131" i="19"/>
  <c r="I137" i="19" s="1"/>
  <c r="I33" i="19"/>
  <c r="S89" i="18"/>
  <c r="S71" i="18"/>
  <c r="S79" i="18"/>
  <c r="S81" i="18"/>
  <c r="I52" i="19"/>
  <c r="S82" i="18"/>
  <c r="S92" i="18"/>
  <c r="S108" i="18"/>
  <c r="S120" i="18"/>
  <c r="S98" i="18"/>
  <c r="I96" i="19"/>
  <c r="S97" i="18"/>
  <c r="S111" i="18"/>
  <c r="I76" i="19"/>
  <c r="I34" i="19"/>
  <c r="I32" i="19"/>
  <c r="I51" i="19"/>
  <c r="I29" i="19"/>
  <c r="I30" i="19"/>
  <c r="S84" i="18"/>
  <c r="I49" i="19"/>
  <c r="I48" i="19"/>
  <c r="S112" i="18"/>
  <c r="S116" i="18"/>
  <c r="I31" i="19"/>
  <c r="S125" i="18"/>
  <c r="I50" i="19"/>
  <c r="S72" i="18"/>
  <c r="S103" i="18"/>
  <c r="I130" i="18"/>
  <c r="I114" i="18"/>
  <c r="S73" i="18"/>
  <c r="S86" i="18"/>
  <c r="S99" i="18"/>
  <c r="S119" i="18"/>
  <c r="S100" i="18"/>
  <c r="S127" i="18"/>
  <c r="S87" i="18"/>
  <c r="S76" i="18"/>
  <c r="S95" i="18"/>
  <c r="S88" i="18"/>
  <c r="S128" i="18"/>
  <c r="I102" i="18"/>
  <c r="S109" i="18"/>
  <c r="I133" i="18"/>
  <c r="I117" i="18"/>
  <c r="I101" i="18"/>
  <c r="I11" i="19" s="1"/>
  <c r="I93" i="18"/>
  <c r="I85" i="18"/>
  <c r="I8" i="19" s="1"/>
  <c r="I77" i="18"/>
  <c r="S131" i="18"/>
  <c r="S104" i="18"/>
  <c r="S115" i="18"/>
  <c r="S126" i="18"/>
  <c r="I132" i="18"/>
  <c r="I124" i="18"/>
  <c r="I118" i="18"/>
  <c r="I78" i="18"/>
  <c r="S110" i="18"/>
  <c r="S83" i="18"/>
  <c r="S94" i="18"/>
  <c r="S121" i="18"/>
  <c r="I123" i="18"/>
  <c r="I107" i="18"/>
  <c r="I91" i="18"/>
  <c r="I75" i="18"/>
  <c r="I54" i="19" s="1"/>
  <c r="S105" i="18"/>
  <c r="S96" i="18"/>
  <c r="S134" i="18"/>
  <c r="I80" i="18"/>
  <c r="I129" i="18"/>
  <c r="I113" i="18"/>
  <c r="S106" i="18"/>
  <c r="S122" i="18"/>
  <c r="S74" i="18"/>
  <c r="S90" i="18"/>
  <c r="I14" i="19" l="1"/>
  <c r="I36" i="19"/>
  <c r="I56" i="19"/>
  <c r="V16" i="19" l="1"/>
  <c r="X24" i="19"/>
  <c r="J13" i="19" l="1"/>
  <c r="J15" i="19"/>
  <c r="J11" i="19"/>
  <c r="J9" i="19"/>
  <c r="J12" i="19"/>
  <c r="W10" i="19"/>
  <c r="J10" i="19"/>
  <c r="J8" i="19"/>
  <c r="W7" i="19"/>
  <c r="I16" i="19" l="1"/>
  <c r="S16" i="19"/>
  <c r="U16" i="19"/>
  <c r="R16" i="19"/>
  <c r="O16" i="19"/>
  <c r="P16" i="19"/>
  <c r="T16" i="19"/>
  <c r="W8" i="19"/>
  <c r="W13" i="19"/>
  <c r="W12" i="19"/>
  <c r="W15" i="19"/>
  <c r="W11" i="19"/>
  <c r="W9" i="19"/>
  <c r="M16" i="19"/>
  <c r="L16" i="19"/>
  <c r="K16" i="19"/>
  <c r="F16" i="19"/>
  <c r="N15" i="19"/>
  <c r="N13" i="19"/>
  <c r="N12" i="19"/>
  <c r="N11" i="19"/>
  <c r="N10" i="19"/>
  <c r="N9" i="19"/>
  <c r="N8" i="19"/>
  <c r="N7" i="19"/>
  <c r="J16" i="19"/>
  <c r="H16" i="19"/>
  <c r="S53" i="18"/>
  <c r="S52" i="18"/>
  <c r="S51" i="18"/>
  <c r="S50" i="18"/>
  <c r="S49" i="18"/>
  <c r="J148" i="18"/>
  <c r="S148" i="18" s="1"/>
  <c r="I148" i="18"/>
  <c r="J147" i="18"/>
  <c r="S147" i="18" s="1"/>
  <c r="I147" i="18"/>
  <c r="J146" i="18"/>
  <c r="S146" i="18" s="1"/>
  <c r="J145" i="18"/>
  <c r="S145" i="18" s="1"/>
  <c r="J144" i="18"/>
  <c r="S144" i="18" s="1"/>
  <c r="J143" i="18"/>
  <c r="I143" i="18" s="1"/>
  <c r="J142" i="18"/>
  <c r="S142" i="18" s="1"/>
  <c r="J141" i="18"/>
  <c r="S141" i="18" s="1"/>
  <c r="J140" i="18"/>
  <c r="S140" i="18" s="1"/>
  <c r="J139" i="18"/>
  <c r="S139" i="18" s="1"/>
  <c r="J138" i="18"/>
  <c r="I138" i="18" s="1"/>
  <c r="J137" i="18"/>
  <c r="S137" i="18" s="1"/>
  <c r="J136" i="18"/>
  <c r="S136" i="18" s="1"/>
  <c r="J135" i="18"/>
  <c r="S135" i="18" s="1"/>
  <c r="I135" i="18"/>
  <c r="S70" i="18"/>
  <c r="S69" i="18"/>
  <c r="S68" i="18"/>
  <c r="S67" i="18"/>
  <c r="S66" i="18"/>
  <c r="S65" i="18"/>
  <c r="I137" i="18" l="1"/>
  <c r="I146" i="18"/>
  <c r="I142" i="18"/>
  <c r="I140" i="18"/>
  <c r="I141" i="18"/>
  <c r="I139" i="18"/>
  <c r="W16" i="19"/>
  <c r="I144" i="18"/>
  <c r="I145" i="18"/>
  <c r="I136" i="18"/>
  <c r="N16" i="19"/>
  <c r="S54" i="18"/>
  <c r="S143" i="18"/>
  <c r="S138" i="18"/>
  <c r="R150" i="18" l="1"/>
  <c r="Q150" i="18"/>
  <c r="P150" i="18"/>
  <c r="O150" i="18"/>
  <c r="N150" i="18"/>
  <c r="M150" i="18"/>
  <c r="L150" i="18"/>
  <c r="K150" i="18"/>
  <c r="S64" i="18"/>
  <c r="S62" i="18"/>
  <c r="S60" i="18"/>
  <c r="S59" i="18"/>
  <c r="S58" i="18"/>
  <c r="S57" i="18"/>
  <c r="S56" i="18"/>
  <c r="S55" i="18"/>
  <c r="S48" i="18"/>
  <c r="S47" i="18"/>
  <c r="S46" i="18"/>
  <c r="S45" i="18"/>
  <c r="S44" i="18"/>
  <c r="S43" i="18"/>
  <c r="S42" i="18"/>
  <c r="S40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1" i="18" l="1"/>
  <c r="S39" i="18"/>
  <c r="S63" i="18"/>
  <c r="J150" i="18"/>
  <c r="S150" i="18" s="1"/>
  <c r="S25" i="18"/>
  <c r="S41" i="18"/>
  <c r="I150" i="18" l="1"/>
</calcChain>
</file>

<file path=xl/sharedStrings.xml><?xml version="1.0" encoding="utf-8"?>
<sst xmlns="http://schemas.openxmlformats.org/spreadsheetml/2006/main" count="1591" uniqueCount="293">
  <si>
    <t>TAIYO NISSHIN VIETNAM CO.,LTD
 太陽日新ベトナム株式会社</t>
  </si>
  <si>
    <t>BÁO CÁO KẾT QUẢ KIỂM HÀNG
検品 結 果 報 告 書</t>
  </si>
  <si>
    <t xml:space="preserve">P1. THÔNG TIN CHI TIẾT HÀNG HÓA </t>
  </si>
  <si>
    <t>P2. BÁO CÁO KIỂM HÀNG CHI TIẾT HẰNG NGÀY</t>
  </si>
  <si>
    <t>P3. THEO DỎI NĂNG SUẤT</t>
  </si>
  <si>
    <t>TÊN KHÁCH HÀNG</t>
  </si>
  <si>
    <t>NHÀ MÁY</t>
  </si>
  <si>
    <t>Nội dung 
kiểm hàng</t>
  </si>
  <si>
    <t>Mã hàng</t>
    <phoneticPr fontId="13"/>
  </si>
  <si>
    <t>Thương hiệu</t>
  </si>
  <si>
    <t>Tên hàng</t>
    <phoneticPr fontId="13"/>
  </si>
  <si>
    <t>Màu</t>
    <phoneticPr fontId="13"/>
  </si>
  <si>
    <t>Size</t>
    <phoneticPr fontId="13"/>
  </si>
  <si>
    <t>Hàng 
hư</t>
  </si>
  <si>
    <t xml:space="preserve">Thông số </t>
    <phoneticPr fontId="13"/>
  </si>
  <si>
    <t>Phụ liệu</t>
    <phoneticPr fontId="13"/>
  </si>
  <si>
    <t>Ngoại quan</t>
  </si>
  <si>
    <t>Vải</t>
    <phoneticPr fontId="13"/>
  </si>
  <si>
    <t xml:space="preserve">Lổi may </t>
  </si>
  <si>
    <t>Khác</t>
  </si>
  <si>
    <t>Kiểm Kim</t>
  </si>
  <si>
    <t>Tỉ lệ lỗi</t>
  </si>
  <si>
    <t>SL BOOK</t>
  </si>
  <si>
    <t>SL BOOK CHÊNH LỆCH</t>
  </si>
  <si>
    <t xml:space="preserve">SL QC </t>
  </si>
  <si>
    <t xml:space="preserve">THỜI GIAN LÀM VIỆC
</t>
  </si>
  <si>
    <t xml:space="preserve">THỜI GIAN TĂNG CA
</t>
  </si>
  <si>
    <t xml:space="preserve">MD
</t>
  </si>
  <si>
    <t xml:space="preserve">TỔ TRƯỞNG
</t>
  </si>
  <si>
    <t>ĐIỂM NĂNG SUẤT</t>
  </si>
  <si>
    <t>GHI CHÚ</t>
  </si>
  <si>
    <t>CUSTOMER</t>
  </si>
  <si>
    <t>FACTORY</t>
  </si>
  <si>
    <t>Date</t>
    <phoneticPr fontId="13"/>
  </si>
  <si>
    <t>Inspection</t>
  </si>
  <si>
    <t>Style No</t>
    <phoneticPr fontId="13"/>
  </si>
  <si>
    <t>Brand</t>
    <phoneticPr fontId="13"/>
  </si>
  <si>
    <t>Item</t>
    <phoneticPr fontId="13"/>
  </si>
  <si>
    <t>Color</t>
    <phoneticPr fontId="13"/>
  </si>
  <si>
    <t>Inspection Qty</t>
    <phoneticPr fontId="13"/>
  </si>
  <si>
    <t>A-Grade Qty</t>
    <phoneticPr fontId="13"/>
  </si>
  <si>
    <t>Defect Qty</t>
    <phoneticPr fontId="13"/>
  </si>
  <si>
    <t>Measurment</t>
    <phoneticPr fontId="13"/>
  </si>
  <si>
    <t>Material</t>
    <phoneticPr fontId="13"/>
  </si>
  <si>
    <t>Appearance</t>
    <phoneticPr fontId="13"/>
  </si>
  <si>
    <t>Fabric</t>
    <phoneticPr fontId="13"/>
  </si>
  <si>
    <t>Dirt</t>
    <phoneticPr fontId="13"/>
  </si>
  <si>
    <t>Sewing</t>
    <phoneticPr fontId="13"/>
  </si>
  <si>
    <t>Other</t>
    <phoneticPr fontId="13"/>
  </si>
  <si>
    <t>Needle Inspection</t>
  </si>
  <si>
    <t>rate</t>
    <phoneticPr fontId="13"/>
  </si>
  <si>
    <t>BOOKING
 Q'TY</t>
  </si>
  <si>
    <t>Q'TY DIFFERENCE</t>
  </si>
  <si>
    <t>QC Q'TY</t>
  </si>
  <si>
    <t>TIME</t>
  </si>
  <si>
    <t>OT</t>
  </si>
  <si>
    <t>LEADER</t>
  </si>
  <si>
    <t>PRODUCTIVITY SCORE</t>
  </si>
  <si>
    <t>NOTE</t>
  </si>
  <si>
    <t>お客様</t>
  </si>
  <si>
    <t>工場</t>
  </si>
  <si>
    <t>日付</t>
    <rPh sb="0" eb="2">
      <t>ヒヅケ</t>
    </rPh>
    <phoneticPr fontId="13"/>
  </si>
  <si>
    <t>検品内容</t>
  </si>
  <si>
    <t>品番</t>
  </si>
  <si>
    <t>ブランド</t>
    <phoneticPr fontId="13"/>
  </si>
  <si>
    <t>品目</t>
    <phoneticPr fontId="13"/>
  </si>
  <si>
    <t>カラー</t>
    <phoneticPr fontId="13"/>
  </si>
  <si>
    <t>サイズ</t>
    <phoneticPr fontId="13"/>
  </si>
  <si>
    <t>検品数</t>
    <rPh sb="0" eb="2">
      <t>ケンピン</t>
    </rPh>
    <rPh sb="2" eb="3">
      <t>スウ</t>
    </rPh>
    <phoneticPr fontId="13"/>
  </si>
  <si>
    <t>良品数</t>
    <rPh sb="0" eb="2">
      <t>リョウヒン</t>
    </rPh>
    <rPh sb="2" eb="3">
      <t>スウ</t>
    </rPh>
    <phoneticPr fontId="13"/>
  </si>
  <si>
    <t>不良品数</t>
    <rPh sb="0" eb="1">
      <t>フ</t>
    </rPh>
    <rPh sb="1" eb="3">
      <t>リョウヒン</t>
    </rPh>
    <rPh sb="3" eb="4">
      <t>スウ</t>
    </rPh>
    <phoneticPr fontId="13"/>
  </si>
  <si>
    <t>採寸不良</t>
    <rPh sb="0" eb="2">
      <t>サイスン</t>
    </rPh>
    <phoneticPr fontId="13"/>
  </si>
  <si>
    <t>付属不良</t>
    <phoneticPr fontId="13"/>
  </si>
  <si>
    <t>外観不良</t>
    <phoneticPr fontId="13"/>
  </si>
  <si>
    <t>生地不良</t>
    <phoneticPr fontId="13"/>
  </si>
  <si>
    <t>汚れ不良</t>
    <phoneticPr fontId="13"/>
  </si>
  <si>
    <t>縫製不良</t>
    <rPh sb="0" eb="2">
      <t>フリョウ</t>
    </rPh>
    <phoneticPr fontId="13"/>
  </si>
  <si>
    <t>その他</t>
    <rPh sb="2" eb="3">
      <t>タ</t>
    </rPh>
    <phoneticPr fontId="13"/>
  </si>
  <si>
    <t>検針</t>
  </si>
  <si>
    <t>不良率</t>
    <rPh sb="0" eb="2">
      <t>フリョウ</t>
    </rPh>
    <rPh sb="2" eb="3">
      <t>リツ</t>
    </rPh>
    <phoneticPr fontId="13"/>
  </si>
  <si>
    <t>予約数量</t>
  </si>
  <si>
    <t>数量差</t>
  </si>
  <si>
    <t>人数</t>
  </si>
  <si>
    <t>作業時間</t>
  </si>
  <si>
    <t>残業時間</t>
  </si>
  <si>
    <t>担当者</t>
  </si>
  <si>
    <t>リーダー</t>
  </si>
  <si>
    <t>Ngày 
kiểm hàng</t>
  </si>
  <si>
    <t xml:space="preserve">SL kiểm
 hàng </t>
  </si>
  <si>
    <t>Hàng 
đạt</t>
  </si>
  <si>
    <t>Dơ</t>
  </si>
  <si>
    <t>TAMURAKOMA</t>
  </si>
  <si>
    <t>KIEM</t>
  </si>
  <si>
    <t>SHIRT</t>
  </si>
  <si>
    <t>TAIKIEM</t>
  </si>
  <si>
    <t>ブランド</t>
    <phoneticPr fontId="15"/>
  </si>
  <si>
    <t>Style No</t>
    <phoneticPr fontId="15"/>
  </si>
  <si>
    <t>Brand</t>
    <phoneticPr fontId="15"/>
  </si>
  <si>
    <t>Item</t>
    <phoneticPr fontId="15"/>
  </si>
  <si>
    <t>Color</t>
    <phoneticPr fontId="15"/>
  </si>
  <si>
    <t>Size</t>
    <phoneticPr fontId="15"/>
  </si>
  <si>
    <t>Order Qty</t>
    <phoneticPr fontId="15"/>
  </si>
  <si>
    <t>Inspection Qty</t>
    <phoneticPr fontId="15"/>
  </si>
  <si>
    <t>Re-inspection Qty</t>
    <phoneticPr fontId="15"/>
  </si>
  <si>
    <t>A-Grade Qty</t>
    <phoneticPr fontId="15"/>
  </si>
  <si>
    <t>Shipment Qty</t>
    <phoneticPr fontId="15"/>
  </si>
  <si>
    <t>Mã hàng</t>
    <phoneticPr fontId="15"/>
  </si>
  <si>
    <t>Tên hàng</t>
    <phoneticPr fontId="15"/>
  </si>
  <si>
    <t>Màu</t>
    <phoneticPr fontId="15"/>
  </si>
  <si>
    <t>Số lượng đơn hàng</t>
    <phoneticPr fontId="15"/>
  </si>
  <si>
    <t>SL xuất 1</t>
  </si>
  <si>
    <t>SL xuất 2</t>
  </si>
  <si>
    <t>SL xuất 3</t>
  </si>
  <si>
    <t>TỔNG XUẤT</t>
  </si>
  <si>
    <t>合計数 Tổng</t>
  </si>
  <si>
    <t>不良項目</t>
  </si>
  <si>
    <t>寸法不良：</t>
  </si>
  <si>
    <t>袖丈-1.5CM, 着丈-4CM, 袖丈-2CM</t>
  </si>
  <si>
    <t>付属・装飾不良：</t>
  </si>
  <si>
    <t>テープ無し, 品質ネームサイズ違い, プリント不良, 品質ネーム汚れ, サイズネーム曲がり</t>
  </si>
  <si>
    <t>外観・仕上げ不良：</t>
  </si>
  <si>
    <t>袖非対称, アタリ, 衿バランス不良, ダブリ, しわ, 捻じれ</t>
  </si>
  <si>
    <t>生地不良：</t>
  </si>
  <si>
    <t>スリップ, 生折れ, キズ</t>
  </si>
  <si>
    <t>汚れ不良：</t>
  </si>
  <si>
    <t>油汚れ</t>
  </si>
  <si>
    <t>縫製不良：</t>
  </si>
  <si>
    <t xml:space="preserve"> パンク, 縫い止め逆付け, 糸切れ, 縫い摘み, 縫いつまみ, 縫い止め無し</t>
  </si>
  <si>
    <t>その他：</t>
  </si>
  <si>
    <t>CHI TIẾT LỖI</t>
  </si>
  <si>
    <t>DAI TAY -1.5CM, DAI AO -4CM, DAI TAY -2CM</t>
  </si>
  <si>
    <t xml:space="preserve">PHỤ LIỆU:  </t>
  </si>
  <si>
    <t>THIEU TEP, NHAN GIAT LON SIZE, IN DUN, NHAN GIAT DO MUC, IN NHAN SIZE XEO</t>
  </si>
  <si>
    <t xml:space="preserve">HÌNH DÁNG:  </t>
  </si>
  <si>
    <t>TAY SOLE, CAN, CO MEO, DUN, NHAN, RAP BO CO VAN</t>
  </si>
  <si>
    <t xml:space="preserve">VẢI: </t>
  </si>
  <si>
    <t>BE VAI, SOC VAI, XUOC</t>
  </si>
  <si>
    <t>DAU</t>
  </si>
  <si>
    <t xml:space="preserve">CÁCH MAY: </t>
  </si>
  <si>
    <t>XI, CHOT NGUOC, DUT CHI , XEP LY, NHIU, THIEU CHOT</t>
  </si>
  <si>
    <t xml:space="preserve">Thông số </t>
    <phoneticPr fontId="16"/>
  </si>
  <si>
    <t>Phụ liệu</t>
    <phoneticPr fontId="16"/>
  </si>
  <si>
    <t>Vải</t>
    <phoneticPr fontId="16"/>
  </si>
  <si>
    <t>Measurment</t>
    <phoneticPr fontId="16"/>
  </si>
  <si>
    <t>Material</t>
    <phoneticPr fontId="16"/>
  </si>
  <si>
    <t>Appearance</t>
    <phoneticPr fontId="16"/>
  </si>
  <si>
    <t>Fabric</t>
    <phoneticPr fontId="16"/>
  </si>
  <si>
    <t>Dirt</t>
    <phoneticPr fontId="16"/>
  </si>
  <si>
    <t>Sewing</t>
    <phoneticPr fontId="16"/>
  </si>
  <si>
    <t>Other</t>
    <phoneticPr fontId="16"/>
  </si>
  <si>
    <t>rate</t>
    <phoneticPr fontId="16"/>
  </si>
  <si>
    <t>採寸不良</t>
    <rPh sb="0" eb="2">
      <t>サイスン</t>
    </rPh>
    <phoneticPr fontId="16"/>
  </si>
  <si>
    <t>付属不良</t>
    <phoneticPr fontId="16"/>
  </si>
  <si>
    <t>外観不良</t>
    <phoneticPr fontId="16"/>
  </si>
  <si>
    <t>生地不良</t>
    <phoneticPr fontId="16"/>
  </si>
  <si>
    <t>汚れ不良</t>
    <phoneticPr fontId="16"/>
  </si>
  <si>
    <t>縫製不良</t>
    <rPh sb="0" eb="2">
      <t>フリョウ</t>
    </rPh>
    <phoneticPr fontId="16"/>
  </si>
  <si>
    <t>その他</t>
    <rPh sb="2" eb="3">
      <t>タ</t>
    </rPh>
    <phoneticPr fontId="16"/>
  </si>
  <si>
    <t>不良率</t>
    <rPh sb="0" eb="2">
      <t>フリョウ</t>
    </rPh>
    <rPh sb="2" eb="3">
      <t>リツ</t>
    </rPh>
    <phoneticPr fontId="16"/>
  </si>
  <si>
    <t>TPA</t>
  </si>
  <si>
    <t>BR1144</t>
  </si>
  <si>
    <t>WH</t>
  </si>
  <si>
    <t>L</t>
  </si>
  <si>
    <t>GUA</t>
  </si>
  <si>
    <t>LL</t>
  </si>
  <si>
    <t>BR9071</t>
  </si>
  <si>
    <t>M</t>
  </si>
  <si>
    <t>HS8078</t>
  </si>
  <si>
    <t>BR9070</t>
  </si>
  <si>
    <t>S</t>
  </si>
  <si>
    <t>HS8073</t>
  </si>
  <si>
    <t>BR1109</t>
  </si>
  <si>
    <t>EL</t>
  </si>
  <si>
    <t>4L</t>
  </si>
  <si>
    <t>SS</t>
  </si>
  <si>
    <t>5L</t>
  </si>
  <si>
    <t>6L</t>
  </si>
  <si>
    <t>BL</t>
  </si>
  <si>
    <t>P1. THÔNG TIN CHI TIẾT HÀNG HÓA 
製品詳細</t>
  </si>
  <si>
    <t>BÁO CÁO KẾT QUẢ KIỂM HÀNG 検品 結 果 報 告 書</t>
  </si>
  <si>
    <t>Số Lượng</t>
  </si>
  <si>
    <t>Quantity</t>
  </si>
  <si>
    <t>サイズ</t>
  </si>
  <si>
    <t>KIỂM</t>
  </si>
  <si>
    <t>NGÀY 2026/03/05</t>
  </si>
  <si>
    <t>NGÀY 2026/03/09</t>
  </si>
  <si>
    <t>NGÀY 2026/03/10</t>
  </si>
  <si>
    <t>2026/03/05 - 03/10</t>
  </si>
  <si>
    <t>累計表(Cumulative Table)</t>
  </si>
  <si>
    <r>
      <rPr>
        <sz val="11"/>
        <color theme="1"/>
        <rFont val="Garamond"/>
        <family val="1"/>
      </rPr>
      <t>品番</t>
    </r>
  </si>
  <si>
    <r>
      <rPr>
        <sz val="11"/>
        <color theme="1"/>
        <rFont val="Garamond"/>
        <family val="1"/>
      </rPr>
      <t>品目</t>
    </r>
  </si>
  <si>
    <r>
      <rPr>
        <sz val="11"/>
        <color theme="1"/>
        <rFont val="Garamond"/>
        <family val="1"/>
      </rPr>
      <t>カラー</t>
    </r>
  </si>
  <si>
    <r>
      <rPr>
        <sz val="11"/>
        <color theme="1"/>
        <rFont val="Garamond"/>
        <family val="1"/>
      </rPr>
      <t>サイズ</t>
    </r>
  </si>
  <si>
    <r>
      <rPr>
        <sz val="11"/>
        <color theme="1"/>
        <rFont val="Garamond"/>
        <family val="1"/>
      </rPr>
      <t>ロット数</t>
    </r>
  </si>
  <si>
    <r>
      <rPr>
        <sz val="11"/>
        <color theme="1"/>
        <rFont val="Garamond"/>
        <family val="1"/>
      </rPr>
      <t>検品数</t>
    </r>
    <r>
      <rPr>
        <sz val="11"/>
        <rFont val="Garamond"/>
        <family val="1"/>
      </rPr>
      <t>(</t>
    </r>
    <r>
      <rPr>
        <sz val="11"/>
        <color theme="1"/>
        <rFont val="Garamond"/>
        <family val="1"/>
      </rPr>
      <t>初回検品のみ</t>
    </r>
    <r>
      <rPr>
        <sz val="11"/>
        <rFont val="Garamond"/>
        <family val="1"/>
      </rPr>
      <t>)</t>
    </r>
  </si>
  <si>
    <r>
      <rPr>
        <sz val="11"/>
        <color theme="1"/>
        <rFont val="Garamond"/>
        <family val="1"/>
      </rPr>
      <t>再検品数量</t>
    </r>
    <r>
      <rPr>
        <sz val="11"/>
        <rFont val="Garamond"/>
        <family val="1"/>
      </rPr>
      <t>(2</t>
    </r>
    <r>
      <rPr>
        <sz val="11"/>
        <color theme="1"/>
        <rFont val="Garamond"/>
        <family val="1"/>
      </rPr>
      <t>回目以降の検査も含む</t>
    </r>
    <r>
      <rPr>
        <sz val="11"/>
        <rFont val="Garamond"/>
        <family val="1"/>
      </rPr>
      <t>)</t>
    </r>
  </si>
  <si>
    <r>
      <rPr>
        <sz val="11"/>
        <color theme="1"/>
        <rFont val="Garamond"/>
        <family val="1"/>
      </rPr>
      <t>良品数</t>
    </r>
    <r>
      <rPr>
        <sz val="11"/>
        <rFont val="Garamond"/>
        <family val="1"/>
      </rPr>
      <t>(</t>
    </r>
    <r>
      <rPr>
        <sz val="11"/>
        <color theme="1"/>
        <rFont val="Garamond"/>
        <family val="1"/>
      </rPr>
      <t>初回・それ以降の検査分含む</t>
    </r>
    <r>
      <rPr>
        <sz val="11"/>
        <rFont val="Garamond"/>
        <family val="1"/>
      </rPr>
      <t>)</t>
    </r>
  </si>
  <si>
    <r>
      <rPr>
        <sz val="11"/>
        <color theme="1"/>
        <rFont val="Garamond"/>
        <family val="1"/>
      </rPr>
      <t>検針良品数</t>
    </r>
    <r>
      <rPr>
        <sz val="11"/>
        <rFont val="Garamond"/>
        <family val="1"/>
      </rPr>
      <t>(</t>
    </r>
    <r>
      <rPr>
        <sz val="11"/>
        <color theme="1"/>
        <rFont val="Garamond"/>
        <family val="1"/>
      </rPr>
      <t>初回・それ以降の検査分含む</t>
    </r>
    <r>
      <rPr>
        <sz val="11"/>
        <rFont val="Garamond"/>
        <family val="1"/>
      </rPr>
      <t>)</t>
    </r>
  </si>
  <si>
    <r>
      <rPr>
        <sz val="11"/>
        <color theme="1"/>
        <rFont val="Garamond"/>
        <family val="1"/>
      </rPr>
      <t>出荷済み数量</t>
    </r>
  </si>
  <si>
    <t xml:space="preserve">SL kiểm hàng </t>
  </si>
  <si>
    <t>SL tái kiểm</t>
  </si>
  <si>
    <t>SL Hàng đạt</t>
  </si>
  <si>
    <t>SL Hàng đạt Kiểm kim</t>
  </si>
  <si>
    <r>
      <t>THÔNG SỐ</t>
    </r>
    <r>
      <rPr>
        <sz val="11"/>
        <color theme="1"/>
        <rFont val="Garamond"/>
        <family val="1"/>
      </rPr>
      <t>：</t>
    </r>
  </si>
  <si>
    <r>
      <t>D</t>
    </r>
    <r>
      <rPr>
        <sz val="11"/>
        <color theme="1"/>
        <rFont val="Garamond"/>
        <family val="1"/>
      </rPr>
      <t>Ơ</t>
    </r>
    <r>
      <rPr>
        <sz val="11"/>
        <rFont val="Garamond"/>
        <family val="1"/>
      </rPr>
      <t xml:space="preserve">: </t>
    </r>
  </si>
  <si>
    <t>TỔNG NGÀY KIỂM</t>
  </si>
  <si>
    <t>NGÀY BẮT ĐẦU</t>
  </si>
  <si>
    <t>NGÀY KẾT THÚC</t>
  </si>
  <si>
    <t>9</t>
  </si>
  <si>
    <t>Ngày nhận</t>
  </si>
  <si>
    <t>Date</t>
  </si>
  <si>
    <t>10</t>
  </si>
  <si>
    <t>Ngày xuất</t>
  </si>
  <si>
    <t>TỔNG SỐ HÀNG TÁI</t>
  </si>
  <si>
    <t>TỔNG SỐ HÀNG KIỂM</t>
  </si>
  <si>
    <t>BR1108</t>
  </si>
  <si>
    <t>BR9125</t>
  </si>
  <si>
    <t>SHEET DỮ LIÊU</t>
  </si>
  <si>
    <t>TẬP HỌP SẲN NGAY LÚC KẾ HOẠCH
BÁO GIÁ/KẾ HOẠCH THÁNG/NĂM</t>
  </si>
  <si>
    <t>DATA NGUỒN</t>
  </si>
  <si>
    <t>ACTION</t>
  </si>
  <si>
    <t>MỤC ĐÍCH</t>
  </si>
  <si>
    <t xml:space="preserve">Lưu total theo năm
Đối chiếu với debit note để xem sự chenh lệch
Theo dỏi từ lùi các lần tính debit ở các tháng
Đối chiếu tính repeat /thay đổi của khách regular
</t>
  </si>
  <si>
    <t>Ghi chú các sự vụ thêm để làm
 cơ sở review hằng năm/định kỳ v.v..</t>
  </si>
  <si>
    <t>SHEET DAILY REPORT</t>
  </si>
  <si>
    <t>TẬP HỢP THÔNG TIN HẰNG NGÀY
DATA NGUỒN ĐỂ RÀ SOÁT, KIỂM TRA, CHẠY CÔNG THỨC ĐỐI SOÁT V…
TÍNH REAL TIME TRONG CÔNG VIỆC</t>
  </si>
  <si>
    <t>TIẾN ĐẾN VIỆC ĐƠN GIẢN HÓA CÁC FILE LƯU
TRÁNH 1 MÃ = 1 FILE
100 MÃ = 100 FILE CHO 1 KHÁCH HÀNG ???</t>
  </si>
  <si>
    <t>Lắc nhắc, mất thời gian
file lưu tùm lum.</t>
  </si>
  <si>
    <t>SHEET CUMULATIVE TABLE</t>
  </si>
  <si>
    <t>FILE SUM THEO MÃ/SKU</t>
  </si>
  <si>
    <t>TIẾN ĐẾN VIỆC LINK FILE BÁO CÁO /DEBIT NOTE
MỤC TIÊU 5 FORM = 5 SHEET = 1 FILE QL</t>
  </si>
  <si>
    <t>STT</t>
  </si>
  <si>
    <t>CẢI THIỆN CÔNG VIỆC VP SAU 14 NĂM CỌC CẠCH</t>
  </si>
  <si>
    <t>TAIYO    NISSHIN　VIET　NAM　CO.,LTD</t>
  </si>
  <si>
    <t>2026年2月分請求書 / DEBIT NOTE - FEB 2026</t>
  </si>
  <si>
    <t>作業日/
Ngày kiểm</t>
  </si>
  <si>
    <t>品番/ 
Mã hàng</t>
  </si>
  <si>
    <t>品名／  
Tên hàng</t>
  </si>
  <si>
    <t>作業内容
Nội dung kiểm hàng</t>
  </si>
  <si>
    <t>備考
Chú thích</t>
  </si>
  <si>
    <t>合計</t>
  </si>
  <si>
    <t xml:space="preserve"> </t>
  </si>
  <si>
    <t>VAT 8%</t>
  </si>
  <si>
    <t>総合計</t>
  </si>
  <si>
    <t>JPY</t>
  </si>
  <si>
    <t>Payment at Japan</t>
  </si>
  <si>
    <t>Payment at / to VietNam</t>
  </si>
  <si>
    <t>Company Name : TAIYO RYUTSU CENTER CO., LTD</t>
  </si>
  <si>
    <t>Company Name : TAIYO NISSHIN VIETNAM CO., LTD</t>
  </si>
  <si>
    <t>Address : 1-8-4 Oyodonaka Kita-Ku Osaka, Japan</t>
  </si>
  <si>
    <t>Address : C12B Le Duc Tho Street, Ward 17, Go Vap District, HCM city, Vietnam</t>
  </si>
  <si>
    <t>Fax. No : 81-6-6458-6217</t>
  </si>
  <si>
    <t>Fax. No : 84.8.3742.2911</t>
  </si>
  <si>
    <t>Bank Name : SAIGON THUONG TIN COMMERCIAL JOINT STOCK BANK</t>
  </si>
  <si>
    <t>Bank address : 1-8-17 Umeda Kita-ku Osaka, Japan</t>
  </si>
  <si>
    <t>Bank Address:94-96-98Nguyen Oanh Street, Ward 7, Go Vap District, HCM city, VN</t>
  </si>
  <si>
    <t>Bank Account : 067.0319384</t>
  </si>
  <si>
    <t>Bank Account : 0600.4744.8819 (VND),0600.4744.8908 (USD),</t>
  </si>
  <si>
    <t>Swift Code : BOTKJPJT</t>
  </si>
  <si>
    <t xml:space="preserve"> 0600.4845.1211 (JPY)</t>
  </si>
  <si>
    <t>Swift Code : SGTTVNVX</t>
  </si>
  <si>
    <t xml:space="preserve"> 担当者名: KAORI 07 - FF03-0226</t>
  </si>
  <si>
    <t>作成日: 2026年2月25日</t>
  </si>
  <si>
    <t>TO     :   株式会社FIT FIT様
ATT :   望月様, 西村様
工場  : T&amp;K</t>
  </si>
  <si>
    <t>単価 (USD)
Đơn giá</t>
  </si>
  <si>
    <t>作業代 (USD)
Tổng</t>
  </si>
  <si>
    <t>2月6日～2月13日</t>
  </si>
  <si>
    <t>SHOES</t>
  </si>
  <si>
    <t>1月30日～2月3日</t>
  </si>
  <si>
    <t>1月26日～2月2日</t>
  </si>
  <si>
    <t>2月10日～12日</t>
  </si>
  <si>
    <t>01月26日～02月13日</t>
  </si>
  <si>
    <t>往復1,343,000 VND</t>
  </si>
  <si>
    <t xml:space="preserve">USD </t>
  </si>
  <si>
    <t>TOTAL EQUIVALENTS TO JPY</t>
  </si>
  <si>
    <t>ドル円ＴＴＳレート　2026/02/25</t>
  </si>
  <si>
    <t>Bank Name : The Bank of Tokyo-Mitsuibishi UFJ, Ltd</t>
  </si>
  <si>
    <t>100</t>
  </si>
  <si>
    <t>GIỜ ĐI ĐƯỜNG</t>
  </si>
  <si>
    <t>GIO ĐI ĐƯỜNG</t>
  </si>
  <si>
    <t>TIỀN XE</t>
  </si>
  <si>
    <t>KIỂM HÀNG</t>
  </si>
  <si>
    <t xml:space="preserve">TÁI KIỂM </t>
  </si>
  <si>
    <t>時間
Thời gian 
ĐĐ</t>
  </si>
  <si>
    <t xml:space="preserve">
数量/人数
SL (PCS OR QC)
</t>
  </si>
  <si>
    <t>GĐĐ</t>
  </si>
  <si>
    <t>HS8072</t>
  </si>
  <si>
    <t>AA</t>
  </si>
  <si>
    <t>SSK</t>
  </si>
  <si>
    <t>PANT</t>
  </si>
  <si>
    <t>BLACK</t>
  </si>
  <si>
    <t>1000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</si>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</sst>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3" formatCode="_(* #,##0.00_);_(* \(#,##0.00\);_(* &quot;-&quot;??_);_(@_)"/>
    <numFmt numFmtId="164" formatCode="#,##0\ &quot;DM&quot;;\-#,##0\ &quot;DM&quot;"/>
    <numFmt numFmtId="165" formatCode="0.000%"/>
    <numFmt numFmtId="166" formatCode="_(* #,##0_);_(* \(#,##0\);_(* &quot;-&quot;??_);_(@_)"/>
    <numFmt numFmtId="167" formatCode="&quot;￥&quot;#,##0;&quot;￥&quot;\-#,##0"/>
    <numFmt numFmtId="168" formatCode="00.000"/>
    <numFmt numFmtId="169" formatCode="0.00000"/>
    <numFmt numFmtId="170" formatCode="_-* #,##0_-;\-* #,##0_-;_-* &quot;-&quot;_-;_-@_-"/>
    <numFmt numFmtId="171" formatCode="_-* #,##0.00_-;\-* #,##0.00_-;_-* &quot;-&quot;??_-;_-@_-"/>
    <numFmt numFmtId="172" formatCode="_-&quot;£&quot;* #,##0_-;\-&quot;£&quot;* #,##0_-;_-&quot;£&quot;* &quot;-&quot;_-;_-@_-"/>
    <numFmt numFmtId="173" formatCode="_-&quot;£&quot;* #,##0.00_-;\-&quot;£&quot;* #,##0.00_-;_-&quot;£&quot;* &quot;-&quot;??_-;_-@_-"/>
    <numFmt numFmtId="174" formatCode="m/d;@"/>
    <numFmt numFmtId="175" formatCode="0.0%"/>
    <numFmt numFmtId="176" formatCode="m&quot;月&quot;d&quot;日&quot;;@"/>
    <numFmt numFmtId="177" formatCode="[$JPY]\ #,##0.00"/>
    <numFmt numFmtId="178" formatCode="#,##0.0"/>
    <numFmt numFmtId="179" formatCode="_-* #,##0_-;\-* #,##0_-;_-* &quot;-&quot;??_-;_-@_-"/>
  </numFmts>
  <fonts count="91">
    <font>
      <sz val="11"/>
      <color theme="1"/>
      <name val="Calibri"/>
      <family val="2"/>
      <scheme val="minor"/>
    </font>
    <font>
      <sz val="12"/>
      <name val="宋体"/>
      <family val="3"/>
      <charset val="128"/>
    </font>
    <font>
      <sz val="14"/>
      <name val="Arial"/>
      <family val="2"/>
    </font>
    <font>
      <sz val="18"/>
      <name val="Arial"/>
      <family val="2"/>
    </font>
    <font>
      <sz val="11"/>
      <name val="ＭＳ Ｐゴシック"/>
      <family val="3"/>
      <charset val="128"/>
    </font>
    <font>
      <b/>
      <sz val="12"/>
      <name val="Arial"/>
      <family val="2"/>
    </font>
    <font>
      <sz val="11"/>
      <color indexed="8"/>
      <name val="宋体"/>
    </font>
    <font>
      <sz val="11"/>
      <color indexed="9"/>
      <name val="宋体"/>
    </font>
    <font>
      <sz val="11"/>
      <name val="ＭＳ Ｐゴシック"/>
      <family val="3"/>
    </font>
    <font>
      <sz val="12"/>
      <name val="宋体"/>
      <charset val="134"/>
    </font>
    <font>
      <sz val="11"/>
      <color theme="1"/>
      <name val="Calibri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sz val="10"/>
      <name val="Arial"/>
      <family val="2"/>
    </font>
    <font>
      <sz val="12"/>
      <name val="宋体"/>
    </font>
    <font>
      <sz val="11"/>
      <name val="VNI-Times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  <charset val="129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name val="宋体"/>
      <family val="3"/>
      <charset val="129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sz val="11"/>
      <color theme="1"/>
      <name val="Calibri"/>
      <family val="3"/>
      <charset val="128"/>
      <scheme val="minor"/>
    </font>
    <font>
      <b/>
      <sz val="11"/>
      <color indexed="8"/>
      <name val="宋体"/>
    </font>
    <font>
      <i/>
      <sz val="11"/>
      <color indexed="23"/>
      <name val="宋体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indexed="8"/>
      <name val="Calibri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name val="Garamond"/>
      <family val="1"/>
    </font>
    <font>
      <sz val="28"/>
      <name val="Garamond"/>
      <family val="1"/>
    </font>
    <font>
      <b/>
      <sz val="11"/>
      <name val="Garamond"/>
      <family val="1"/>
    </font>
    <font>
      <sz val="11"/>
      <color rgb="FFFF0000"/>
      <name val="Garamond"/>
      <family val="1"/>
    </font>
    <font>
      <b/>
      <sz val="12"/>
      <name val="Garamond"/>
      <family val="1"/>
    </font>
    <font>
      <sz val="12"/>
      <name val="Garamond"/>
      <family val="1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8"/>
      <name val="Garamond"/>
      <family val="1"/>
    </font>
    <font>
      <sz val="14"/>
      <name val="Garamond"/>
      <family val="1"/>
    </font>
    <font>
      <b/>
      <sz val="25"/>
      <name val="Garamond"/>
      <family val="1"/>
    </font>
    <font>
      <sz val="11"/>
      <color theme="1"/>
      <name val="Garamond"/>
      <family val="1"/>
    </font>
    <font>
      <sz val="8"/>
      <color rgb="FFE6E8F0"/>
      <name val="Garamond"/>
      <family val="1"/>
    </font>
    <font>
      <b/>
      <sz val="12"/>
      <color indexed="8"/>
      <name val="Garamond"/>
      <family val="1"/>
    </font>
    <font>
      <sz val="12"/>
      <color theme="1"/>
      <name val="Garamond"/>
      <family val="1"/>
    </font>
    <font>
      <sz val="12"/>
      <color rgb="FFFF0000"/>
      <name val="Garamond"/>
      <family val="1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Garamond"/>
      <family val="1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u/>
      <sz val="14"/>
      <color rgb="FF0038A8"/>
      <name val="Arial"/>
      <family val="2"/>
    </font>
    <font>
      <b/>
      <sz val="14"/>
      <color rgb="FF0038A8"/>
      <name val="Arial"/>
      <family val="2"/>
    </font>
    <font>
      <sz val="12"/>
      <color theme="1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</font>
    <font>
      <sz val="11"/>
      <color rgb="FFFF0000"/>
      <name val="ＭＳ Ｐゴシック"/>
    </font>
    <font>
      <sz val="11"/>
      <color rgb="FFFF0000"/>
      <name val="ＭＳ Ｐゴシック"/>
      <family val="3"/>
      <charset val="128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1"/>
      <color rgb="FFFF0000"/>
      <name val="ＭＳ Ｐゴシック"/>
      <family val="3"/>
    </font>
    <font>
      <sz val="11"/>
      <color rgb="FFFF0000"/>
      <name val="Calibri"/>
      <family val="2"/>
      <charset val="128"/>
      <scheme val="minor"/>
    </font>
    <font>
      <b/>
      <sz val="13"/>
      <color rgb="FFFF0000"/>
      <name val="Arial"/>
      <family val="2"/>
    </font>
    <font>
      <sz val="13"/>
      <color rgb="FFFF0000"/>
      <name val="Arial"/>
      <family val="2"/>
    </font>
    <font>
      <sz val="12"/>
      <color rgb="FFFF0000"/>
      <name val="Arial"/>
      <family val="2"/>
    </font>
    <font>
      <b/>
      <sz val="9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9">
    <xf numFmtId="0" fontId="0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38" fontId="8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3" fillId="0" borderId="0"/>
    <xf numFmtId="0" fontId="8" fillId="0" borderId="0"/>
    <xf numFmtId="0" fontId="8" fillId="0" borderId="0"/>
    <xf numFmtId="0" fontId="1" fillId="0" borderId="0"/>
    <xf numFmtId="0" fontId="4" fillId="0" borderId="0"/>
    <xf numFmtId="0" fontId="4" fillId="0" borderId="0"/>
    <xf numFmtId="0" fontId="14" fillId="0" borderId="0">
      <protection locked="0" hidden="1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166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20" fillId="0" borderId="0"/>
    <xf numFmtId="0" fontId="21" fillId="0" borderId="0"/>
    <xf numFmtId="169" fontId="22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23" fillId="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4" fillId="0" borderId="0"/>
    <xf numFmtId="0" fontId="8" fillId="0" borderId="0"/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1" borderId="7" applyNumberFormat="0" applyAlignment="0" applyProtection="0">
      <alignment vertical="center"/>
    </xf>
    <xf numFmtId="0" fontId="30" fillId="0" borderId="0">
      <alignment vertical="center"/>
    </xf>
    <xf numFmtId="0" fontId="31" fillId="0" borderId="8" applyNumberFormat="0" applyFill="0" applyAlignment="0" applyProtection="0">
      <alignment vertical="center"/>
    </xf>
    <xf numFmtId="0" fontId="4" fillId="22" borderId="9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3" borderId="10" applyNumberFormat="0" applyAlignment="0" applyProtection="0">
      <alignment vertical="center"/>
    </xf>
    <xf numFmtId="172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0" fontId="35" fillId="8" borderId="10" applyNumberFormat="0" applyAlignment="0" applyProtection="0">
      <alignment vertical="center"/>
    </xf>
    <xf numFmtId="0" fontId="36" fillId="23" borderId="11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0"/>
    <xf numFmtId="0" fontId="60" fillId="0" borderId="0"/>
    <xf numFmtId="43" fontId="60" fillId="0" borderId="0" applyFont="0" applyFill="0" applyBorder="0" applyAlignment="0" applyProtection="0"/>
    <xf numFmtId="0" fontId="10" fillId="0" borderId="0">
      <alignment vertical="center"/>
    </xf>
    <xf numFmtId="171" fontId="10" fillId="0" borderId="0" applyFont="0" applyFill="0" applyBorder="0" applyAlignment="0" applyProtection="0"/>
  </cellStyleXfs>
  <cellXfs count="487">
    <xf numFmtId="0" fontId="0" fillId="0" borderId="0" xfId="0"/>
    <xf numFmtId="0" fontId="2" fillId="0" borderId="0" xfId="1" applyFont="1"/>
    <xf numFmtId="0" fontId="2" fillId="0" borderId="0" xfId="2" applyFont="1" applyAlignment="1">
      <alignment vertical="center"/>
    </xf>
    <xf numFmtId="0" fontId="4" fillId="0" borderId="0" xfId="0" applyFont="1"/>
    <xf numFmtId="49" fontId="4" fillId="0" borderId="0" xfId="0" applyNumberFormat="1" applyFont="1"/>
    <xf numFmtId="0" fontId="40" fillId="0" borderId="0" xfId="1" applyFont="1"/>
    <xf numFmtId="0" fontId="42" fillId="0" borderId="0" xfId="0" applyFont="1"/>
    <xf numFmtId="0" fontId="42" fillId="26" borderId="58" xfId="0" applyFont="1" applyFill="1" applyBorder="1" applyAlignment="1">
      <alignment horizontal="center" vertical="center"/>
    </xf>
    <xf numFmtId="0" fontId="42" fillId="26" borderId="59" xfId="0" applyFont="1" applyFill="1" applyBorder="1" applyAlignment="1">
      <alignment horizontal="center" vertical="center"/>
    </xf>
    <xf numFmtId="0" fontId="42" fillId="26" borderId="60" xfId="0" applyFont="1" applyFill="1" applyBorder="1" applyAlignment="1">
      <alignment horizontal="center" vertical="center"/>
    </xf>
    <xf numFmtId="0" fontId="42" fillId="26" borderId="60" xfId="0" applyFont="1" applyFill="1" applyBorder="1" applyAlignment="1">
      <alignment horizontal="center"/>
    </xf>
    <xf numFmtId="0" fontId="42" fillId="26" borderId="60" xfId="0" applyFont="1" applyFill="1" applyBorder="1" applyAlignment="1">
      <alignment horizontal="center" wrapText="1"/>
    </xf>
    <xf numFmtId="0" fontId="42" fillId="26" borderId="62" xfId="0" applyFont="1" applyFill="1" applyBorder="1" applyAlignment="1">
      <alignment horizontal="center"/>
    </xf>
    <xf numFmtId="0" fontId="42" fillId="26" borderId="63" xfId="0" applyFont="1" applyFill="1" applyBorder="1" applyAlignment="1">
      <alignment horizontal="center"/>
    </xf>
    <xf numFmtId="0" fontId="42" fillId="0" borderId="64" xfId="0" applyFont="1" applyBorder="1" applyAlignment="1">
      <alignment horizontal="center"/>
    </xf>
    <xf numFmtId="0" fontId="42" fillId="0" borderId="65" xfId="0" applyFont="1" applyBorder="1" applyAlignment="1">
      <alignment horizontal="center"/>
    </xf>
    <xf numFmtId="0" fontId="42" fillId="0" borderId="66" xfId="0" applyFont="1" applyBorder="1" applyAlignment="1">
      <alignment horizontal="center"/>
    </xf>
    <xf numFmtId="0" fontId="44" fillId="0" borderId="67" xfId="0" applyFont="1" applyBorder="1" applyAlignment="1">
      <alignment horizontal="center"/>
    </xf>
    <xf numFmtId="0" fontId="45" fillId="0" borderId="0" xfId="0" applyFont="1"/>
    <xf numFmtId="0" fontId="42" fillId="0" borderId="68" xfId="0" applyFont="1" applyBorder="1" applyAlignment="1">
      <alignment horizontal="center"/>
    </xf>
    <xf numFmtId="0" fontId="42" fillId="0" borderId="69" xfId="0" applyFont="1" applyBorder="1" applyAlignment="1">
      <alignment horizontal="center"/>
    </xf>
    <xf numFmtId="0" fontId="42" fillId="0" borderId="70" xfId="0" applyFont="1" applyBorder="1" applyAlignment="1">
      <alignment horizontal="center"/>
    </xf>
    <xf numFmtId="0" fontId="44" fillId="0" borderId="71" xfId="0" applyFont="1" applyBorder="1" applyAlignment="1">
      <alignment horizontal="center"/>
    </xf>
    <xf numFmtId="0" fontId="46" fillId="0" borderId="37" xfId="0" applyFont="1" applyBorder="1" applyAlignment="1">
      <alignment horizontal="center" vertical="center"/>
    </xf>
    <xf numFmtId="0" fontId="46" fillId="0" borderId="61" xfId="0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2" fillId="0" borderId="74" xfId="0" applyFont="1" applyBorder="1" applyAlignment="1">
      <alignment vertical="top"/>
    </xf>
    <xf numFmtId="0" fontId="42" fillId="0" borderId="78" xfId="0" applyFont="1" applyBorder="1" applyAlignment="1">
      <alignment vertical="center"/>
    </xf>
    <xf numFmtId="0" fontId="42" fillId="0" borderId="78" xfId="0" applyFont="1" applyBorder="1" applyAlignment="1">
      <alignment vertical="top"/>
    </xf>
    <xf numFmtId="0" fontId="47" fillId="25" borderId="44" xfId="0" applyFont="1" applyFill="1" applyBorder="1" applyAlignment="1">
      <alignment horizontal="center" vertical="center"/>
    </xf>
    <xf numFmtId="0" fontId="47" fillId="25" borderId="44" xfId="0" applyFont="1" applyFill="1" applyBorder="1" applyAlignment="1">
      <alignment horizontal="center" vertical="center" wrapText="1"/>
    </xf>
    <xf numFmtId="175" fontId="42" fillId="25" borderId="44" xfId="0" applyNumberFormat="1" applyFont="1" applyFill="1" applyBorder="1" applyAlignment="1">
      <alignment horizontal="center" vertical="center"/>
    </xf>
    <xf numFmtId="175" fontId="47" fillId="25" borderId="44" xfId="0" applyNumberFormat="1" applyFont="1" applyFill="1" applyBorder="1" applyAlignment="1">
      <alignment horizontal="center" vertical="center"/>
    </xf>
    <xf numFmtId="0" fontId="42" fillId="0" borderId="90" xfId="0" applyFont="1" applyBorder="1"/>
    <xf numFmtId="0" fontId="46" fillId="0" borderId="45" xfId="0" applyFont="1" applyBorder="1" applyAlignment="1">
      <alignment horizontal="center" vertical="center"/>
    </xf>
    <xf numFmtId="9" fontId="46" fillId="0" borderId="46" xfId="0" applyNumberFormat="1" applyFont="1" applyBorder="1" applyAlignment="1">
      <alignment horizontal="center" vertical="center"/>
    </xf>
    <xf numFmtId="174" fontId="42" fillId="0" borderId="0" xfId="0" applyNumberFormat="1" applyFont="1"/>
    <xf numFmtId="49" fontId="40" fillId="0" borderId="0" xfId="1" applyNumberFormat="1" applyFont="1"/>
    <xf numFmtId="0" fontId="50" fillId="0" borderId="0" xfId="1" applyFont="1" applyAlignment="1">
      <alignment vertical="center" wrapText="1"/>
    </xf>
    <xf numFmtId="0" fontId="51" fillId="0" borderId="0" xfId="1" applyFont="1"/>
    <xf numFmtId="0" fontId="52" fillId="0" borderId="0" xfId="2" applyFont="1" applyAlignment="1">
      <alignment vertical="center"/>
    </xf>
    <xf numFmtId="0" fontId="51" fillId="0" borderId="0" xfId="2" applyFont="1" applyAlignment="1">
      <alignment vertical="center"/>
    </xf>
    <xf numFmtId="0" fontId="47" fillId="25" borderId="44" xfId="0" applyFont="1" applyFill="1" applyBorder="1" applyAlignment="1">
      <alignment horizontal="center" vertical="center" shrinkToFit="1"/>
    </xf>
    <xf numFmtId="0" fontId="42" fillId="25" borderId="44" xfId="0" applyFont="1" applyFill="1" applyBorder="1" applyAlignment="1">
      <alignment horizontal="center" vertical="center" shrinkToFit="1"/>
    </xf>
    <xf numFmtId="49" fontId="53" fillId="0" borderId="50" xfId="0" applyNumberFormat="1" applyFont="1" applyBorder="1"/>
    <xf numFmtId="0" fontId="42" fillId="0" borderId="88" xfId="0" applyFont="1" applyBorder="1"/>
    <xf numFmtId="0" fontId="42" fillId="0" borderId="64" xfId="0" applyFont="1" applyBorder="1"/>
    <xf numFmtId="175" fontId="42" fillId="0" borderId="86" xfId="48" applyNumberFormat="1" applyFont="1" applyFill="1" applyBorder="1" applyAlignment="1">
      <alignment shrinkToFit="1"/>
    </xf>
    <xf numFmtId="0" fontId="42" fillId="0" borderId="68" xfId="0" applyFont="1" applyBorder="1"/>
    <xf numFmtId="175" fontId="42" fillId="0" borderId="87" xfId="48" applyNumberFormat="1" applyFont="1" applyFill="1" applyBorder="1" applyAlignment="1">
      <alignment shrinkToFit="1"/>
    </xf>
    <xf numFmtId="0" fontId="53" fillId="0" borderId="74" xfId="0" applyFont="1" applyBorder="1" applyAlignment="1">
      <alignment vertical="top"/>
    </xf>
    <xf numFmtId="0" fontId="53" fillId="0" borderId="78" xfId="0" applyFont="1" applyBorder="1" applyAlignment="1">
      <alignment vertical="center"/>
    </xf>
    <xf numFmtId="0" fontId="53" fillId="0" borderId="78" xfId="0" applyFont="1" applyBorder="1" applyAlignment="1">
      <alignment vertical="top"/>
    </xf>
    <xf numFmtId="0" fontId="54" fillId="0" borderId="0" xfId="0" applyFont="1"/>
    <xf numFmtId="0" fontId="42" fillId="0" borderId="82" xfId="0" applyFont="1" applyBorder="1" applyAlignment="1">
      <alignment vertical="top"/>
    </xf>
    <xf numFmtId="0" fontId="42" fillId="0" borderId="83" xfId="0" applyFont="1" applyBorder="1" applyAlignment="1">
      <alignment vertical="top"/>
    </xf>
    <xf numFmtId="0" fontId="42" fillId="0" borderId="0" xfId="0" applyFont="1" applyAlignment="1">
      <alignment vertical="top"/>
    </xf>
    <xf numFmtId="174" fontId="47" fillId="0" borderId="0" xfId="0" applyNumberFormat="1" applyFont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 wrapText="1"/>
    </xf>
    <xf numFmtId="49" fontId="47" fillId="0" borderId="20" xfId="0" applyNumberFormat="1" applyFont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 wrapText="1"/>
    </xf>
    <xf numFmtId="0" fontId="47" fillId="0" borderId="20" xfId="0" applyFont="1" applyBorder="1" applyAlignment="1">
      <alignment horizontal="center" vertical="center" wrapText="1"/>
    </xf>
    <xf numFmtId="175" fontId="47" fillId="0" borderId="16" xfId="0" applyNumberFormat="1" applyFont="1" applyBorder="1" applyAlignment="1">
      <alignment horizontal="center" vertical="center" wrapText="1"/>
    </xf>
    <xf numFmtId="175" fontId="46" fillId="0" borderId="100" xfId="0" applyNumberFormat="1" applyFont="1" applyBorder="1" applyAlignment="1">
      <alignment horizontal="center" vertical="center" wrapText="1"/>
    </xf>
    <xf numFmtId="0" fontId="55" fillId="0" borderId="100" xfId="94" applyFont="1" applyBorder="1" applyAlignment="1">
      <alignment horizontal="center" vertical="center" wrapText="1"/>
    </xf>
    <xf numFmtId="174" fontId="47" fillId="0" borderId="2" xfId="0" applyNumberFormat="1" applyFont="1" applyBorder="1" applyAlignment="1">
      <alignment horizontal="center" vertical="center" wrapText="1"/>
    </xf>
    <xf numFmtId="0" fontId="47" fillId="0" borderId="43" xfId="0" applyFont="1" applyBorder="1" applyAlignment="1">
      <alignment horizontal="center" vertical="center" wrapText="1"/>
    </xf>
    <xf numFmtId="0" fontId="47" fillId="0" borderId="44" xfId="0" applyFont="1" applyBorder="1" applyAlignment="1">
      <alignment horizontal="center" vertical="center" wrapText="1"/>
    </xf>
    <xf numFmtId="0" fontId="47" fillId="0" borderId="45" xfId="0" applyFont="1" applyBorder="1" applyAlignment="1">
      <alignment horizontal="center" vertical="center" wrapText="1"/>
    </xf>
    <xf numFmtId="49" fontId="47" fillId="0" borderId="47" xfId="0" applyNumberFormat="1" applyFont="1" applyBorder="1" applyAlignment="1">
      <alignment horizontal="center" vertical="center" wrapText="1"/>
    </xf>
    <xf numFmtId="0" fontId="47" fillId="0" borderId="37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47" fillId="0" borderId="47" xfId="0" applyFont="1" applyBorder="1" applyAlignment="1">
      <alignment horizontal="center" vertical="center" wrapText="1"/>
    </xf>
    <xf numFmtId="175" fontId="47" fillId="0" borderId="47" xfId="0" applyNumberFormat="1" applyFont="1" applyBorder="1" applyAlignment="1">
      <alignment horizontal="center" vertical="center" wrapText="1"/>
    </xf>
    <xf numFmtId="175" fontId="46" fillId="0" borderId="1" xfId="0" applyNumberFormat="1" applyFont="1" applyBorder="1" applyAlignment="1">
      <alignment horizontal="center" vertical="center" wrapText="1"/>
    </xf>
    <xf numFmtId="0" fontId="55" fillId="0" borderId="1" xfId="94" applyFont="1" applyBorder="1" applyAlignment="1">
      <alignment horizontal="center" vertical="center" wrapText="1"/>
    </xf>
    <xf numFmtId="174" fontId="47" fillId="0" borderId="0" xfId="0" applyNumberFormat="1" applyFont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47" fillId="0" borderId="17" xfId="0" applyFont="1" applyBorder="1" applyAlignment="1">
      <alignment horizontal="center" vertical="center"/>
    </xf>
    <xf numFmtId="49" fontId="47" fillId="0" borderId="18" xfId="0" applyNumberFormat="1" applyFont="1" applyBorder="1" applyAlignment="1">
      <alignment horizontal="center" vertical="center"/>
    </xf>
    <xf numFmtId="49" fontId="47" fillId="0" borderId="41" xfId="0" applyNumberFormat="1" applyFont="1" applyBorder="1" applyAlignment="1">
      <alignment horizontal="center" vertical="center" shrinkToFit="1"/>
    </xf>
    <xf numFmtId="0" fontId="47" fillId="0" borderId="42" xfId="0" applyFont="1" applyBorder="1" applyAlignment="1">
      <alignment horizontal="center" vertical="center" shrinkToFit="1"/>
    </xf>
    <xf numFmtId="0" fontId="47" fillId="0" borderId="19" xfId="0" applyFont="1" applyBorder="1" applyAlignment="1">
      <alignment horizontal="center" vertical="center" shrinkToFit="1"/>
    </xf>
    <xf numFmtId="0" fontId="47" fillId="0" borderId="20" xfId="0" applyFont="1" applyBorder="1" applyAlignment="1">
      <alignment horizontal="center" vertical="center" shrinkToFit="1"/>
    </xf>
    <xf numFmtId="0" fontId="47" fillId="0" borderId="40" xfId="0" applyFont="1" applyBorder="1" applyAlignment="1">
      <alignment horizontal="center" vertical="center" shrinkToFit="1"/>
    </xf>
    <xf numFmtId="0" fontId="47" fillId="0" borderId="38" xfId="0" applyFont="1" applyBorder="1" applyAlignment="1">
      <alignment horizontal="center" vertical="center" shrinkToFit="1"/>
    </xf>
    <xf numFmtId="0" fontId="46" fillId="0" borderId="13" xfId="0" applyFont="1" applyBorder="1" applyAlignment="1">
      <alignment horizontal="center" vertical="center" shrinkToFit="1"/>
    </xf>
    <xf numFmtId="0" fontId="53" fillId="0" borderId="22" xfId="0" applyFont="1" applyBorder="1"/>
    <xf numFmtId="0" fontId="42" fillId="0" borderId="22" xfId="0" applyFont="1" applyBorder="1"/>
    <xf numFmtId="49" fontId="42" fillId="0" borderId="22" xfId="0" applyNumberFormat="1" applyFont="1" applyBorder="1"/>
    <xf numFmtId="0" fontId="42" fillId="0" borderId="28" xfId="0" applyFont="1" applyBorder="1"/>
    <xf numFmtId="174" fontId="47" fillId="0" borderId="0" xfId="1" applyNumberFormat="1" applyFont="1"/>
    <xf numFmtId="0" fontId="47" fillId="0" borderId="0" xfId="1" applyFont="1" applyAlignment="1">
      <alignment vertical="center"/>
    </xf>
    <xf numFmtId="0" fontId="47" fillId="0" borderId="0" xfId="1" applyFont="1" applyAlignment="1">
      <alignment vertical="center" wrapText="1"/>
    </xf>
    <xf numFmtId="49" fontId="47" fillId="0" borderId="0" xfId="1" applyNumberFormat="1" applyFont="1"/>
    <xf numFmtId="174" fontId="46" fillId="0" borderId="0" xfId="2" applyNumberFormat="1" applyFont="1" applyAlignment="1">
      <alignment vertical="center"/>
    </xf>
    <xf numFmtId="175" fontId="47" fillId="0" borderId="17" xfId="0" applyNumberFormat="1" applyFont="1" applyBorder="1" applyAlignment="1">
      <alignment horizontal="center" vertical="center" wrapText="1"/>
    </xf>
    <xf numFmtId="0" fontId="56" fillId="0" borderId="100" xfId="0" applyFont="1" applyBorder="1" applyAlignment="1">
      <alignment horizontal="center" vertical="center" wrapText="1"/>
    </xf>
    <xf numFmtId="175" fontId="47" fillId="0" borderId="44" xfId="0" applyNumberFormat="1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49" fontId="47" fillId="0" borderId="19" xfId="0" applyNumberFormat="1" applyFont="1" applyBorder="1" applyAlignment="1">
      <alignment horizontal="center"/>
    </xf>
    <xf numFmtId="0" fontId="47" fillId="0" borderId="39" xfId="0" applyFont="1" applyBorder="1" applyAlignment="1">
      <alignment horizontal="center" vertical="center" shrinkToFit="1"/>
    </xf>
    <xf numFmtId="0" fontId="56" fillId="0" borderId="13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174" fontId="47" fillId="0" borderId="49" xfId="0" applyNumberFormat="1" applyFont="1" applyBorder="1"/>
    <xf numFmtId="174" fontId="47" fillId="0" borderId="63" xfId="0" applyNumberFormat="1" applyFont="1" applyBorder="1"/>
    <xf numFmtId="0" fontId="56" fillId="0" borderId="95" xfId="0" applyFont="1" applyBorder="1"/>
    <xf numFmtId="49" fontId="56" fillId="0" borderId="50" xfId="0" applyNumberFormat="1" applyFont="1" applyBorder="1"/>
    <xf numFmtId="49" fontId="56" fillId="0" borderId="51" xfId="0" applyNumberFormat="1" applyFont="1" applyBorder="1"/>
    <xf numFmtId="49" fontId="47" fillId="0" borderId="52" xfId="0" applyNumberFormat="1" applyFont="1" applyBorder="1"/>
    <xf numFmtId="0" fontId="47" fillId="0" borderId="36" xfId="0" applyFont="1" applyBorder="1"/>
    <xf numFmtId="0" fontId="56" fillId="0" borderId="53" xfId="0" applyFont="1" applyBorder="1"/>
    <xf numFmtId="0" fontId="47" fillId="0" borderId="52" xfId="0" applyFont="1" applyBorder="1"/>
    <xf numFmtId="0" fontId="47" fillId="0" borderId="51" xfId="0" applyFont="1" applyBorder="1"/>
    <xf numFmtId="175" fontId="47" fillId="0" borderId="48" xfId="48" applyNumberFormat="1" applyFont="1" applyFill="1" applyBorder="1" applyAlignment="1">
      <alignment shrinkToFit="1"/>
    </xf>
    <xf numFmtId="175" fontId="47" fillId="0" borderId="49" xfId="48" applyNumberFormat="1" applyFont="1" applyFill="1" applyBorder="1" applyAlignment="1">
      <alignment shrinkToFit="1"/>
    </xf>
    <xf numFmtId="0" fontId="47" fillId="0" borderId="49" xfId="0" applyFont="1" applyBorder="1"/>
    <xf numFmtId="174" fontId="47" fillId="0" borderId="22" xfId="0" applyNumberFormat="1" applyFont="1" applyBorder="1"/>
    <xf numFmtId="174" fontId="47" fillId="0" borderId="102" xfId="0" applyNumberFormat="1" applyFont="1" applyBorder="1"/>
    <xf numFmtId="0" fontId="56" fillId="0" borderId="22" xfId="0" applyFont="1" applyBorder="1"/>
    <xf numFmtId="0" fontId="56" fillId="0" borderId="0" xfId="0" applyFont="1"/>
    <xf numFmtId="0" fontId="56" fillId="0" borderId="94" xfId="0" applyFont="1" applyBorder="1"/>
    <xf numFmtId="49" fontId="56" fillId="0" borderId="23" xfId="0" applyNumberFormat="1" applyFont="1" applyBorder="1"/>
    <xf numFmtId="49" fontId="47" fillId="0" borderId="24" xfId="0" applyNumberFormat="1" applyFont="1" applyBorder="1"/>
    <xf numFmtId="49" fontId="47" fillId="0" borderId="25" xfId="0" applyNumberFormat="1" applyFont="1" applyBorder="1"/>
    <xf numFmtId="0" fontId="47" fillId="0" borderId="26" xfId="0" applyFont="1" applyBorder="1"/>
    <xf numFmtId="0" fontId="47" fillId="0" borderId="54" xfId="0" applyFont="1" applyBorder="1"/>
    <xf numFmtId="0" fontId="47" fillId="0" borderId="25" xfId="0" applyFont="1" applyBorder="1"/>
    <xf numFmtId="0" fontId="47" fillId="0" borderId="24" xfId="0" applyFont="1" applyBorder="1"/>
    <xf numFmtId="175" fontId="47" fillId="0" borderId="21" xfId="48" applyNumberFormat="1" applyFont="1" applyFill="1" applyBorder="1" applyAlignment="1">
      <alignment shrinkToFit="1"/>
    </xf>
    <xf numFmtId="175" fontId="47" fillId="0" borderId="22" xfId="48" applyNumberFormat="1" applyFont="1" applyFill="1" applyBorder="1" applyAlignment="1">
      <alignment shrinkToFit="1"/>
    </xf>
    <xf numFmtId="0" fontId="47" fillId="0" borderId="22" xfId="0" applyFont="1" applyBorder="1"/>
    <xf numFmtId="174" fontId="47" fillId="0" borderId="71" xfId="0" applyNumberFormat="1" applyFont="1" applyBorder="1"/>
    <xf numFmtId="0" fontId="56" fillId="0" borderId="96" xfId="0" applyFont="1" applyBorder="1"/>
    <xf numFmtId="0" fontId="56" fillId="0" borderId="101" xfId="0" applyFont="1" applyBorder="1"/>
    <xf numFmtId="0" fontId="56" fillId="0" borderId="54" xfId="0" applyFont="1" applyBorder="1"/>
    <xf numFmtId="0" fontId="56" fillId="0" borderId="21" xfId="0" applyFont="1" applyBorder="1"/>
    <xf numFmtId="49" fontId="56" fillId="0" borderId="24" xfId="0" applyNumberFormat="1" applyFont="1" applyBorder="1"/>
    <xf numFmtId="0" fontId="56" fillId="0" borderId="26" xfId="0" applyFont="1" applyBorder="1"/>
    <xf numFmtId="49" fontId="56" fillId="0" borderId="56" xfId="0" applyNumberFormat="1" applyFont="1" applyBorder="1"/>
    <xf numFmtId="0" fontId="47" fillId="0" borderId="0" xfId="1" applyFont="1" applyAlignment="1">
      <alignment horizontal="left"/>
    </xf>
    <xf numFmtId="49" fontId="56" fillId="0" borderId="98" xfId="0" applyNumberFormat="1" applyFont="1" applyBorder="1"/>
    <xf numFmtId="49" fontId="56" fillId="0" borderId="22" xfId="0" applyNumberFormat="1" applyFont="1" applyBorder="1"/>
    <xf numFmtId="49" fontId="47" fillId="0" borderId="71" xfId="0" applyNumberFormat="1" applyFont="1" applyBorder="1"/>
    <xf numFmtId="49" fontId="56" fillId="0" borderId="97" xfId="0" applyNumberFormat="1" applyFont="1" applyBorder="1"/>
    <xf numFmtId="49" fontId="56" fillId="0" borderId="71" xfId="0" applyNumberFormat="1" applyFont="1" applyBorder="1"/>
    <xf numFmtId="49" fontId="47" fillId="0" borderId="23" xfId="0" applyNumberFormat="1" applyFont="1" applyBorder="1"/>
    <xf numFmtId="174" fontId="47" fillId="0" borderId="28" xfId="0" applyNumberFormat="1" applyFont="1" applyBorder="1"/>
    <xf numFmtId="0" fontId="47" fillId="0" borderId="28" xfId="0" applyFont="1" applyBorder="1"/>
    <xf numFmtId="0" fontId="47" fillId="0" borderId="27" xfId="0" applyFont="1" applyBorder="1"/>
    <xf numFmtId="49" fontId="47" fillId="0" borderId="29" xfId="0" applyNumberFormat="1" applyFont="1" applyBorder="1"/>
    <xf numFmtId="49" fontId="47" fillId="0" borderId="30" xfId="0" applyNumberFormat="1" applyFont="1" applyBorder="1"/>
    <xf numFmtId="49" fontId="47" fillId="0" borderId="31" xfId="0" applyNumberFormat="1" applyFont="1" applyBorder="1"/>
    <xf numFmtId="0" fontId="47" fillId="0" borderId="32" xfId="0" applyFont="1" applyBorder="1"/>
    <xf numFmtId="0" fontId="56" fillId="0" borderId="55" xfId="0" applyFont="1" applyBorder="1"/>
    <xf numFmtId="0" fontId="47" fillId="0" borderId="31" xfId="0" applyFont="1" applyBorder="1"/>
    <xf numFmtId="0" fontId="47" fillId="0" borderId="30" xfId="0" applyFont="1" applyBorder="1"/>
    <xf numFmtId="175" fontId="47" fillId="0" borderId="27" xfId="48" applyNumberFormat="1" applyFont="1" applyFill="1" applyBorder="1" applyAlignment="1">
      <alignment shrinkToFit="1"/>
    </xf>
    <xf numFmtId="175" fontId="47" fillId="0" borderId="28" xfId="48" applyNumberFormat="1" applyFont="1" applyFill="1" applyBorder="1" applyAlignment="1">
      <alignment shrinkToFit="1"/>
    </xf>
    <xf numFmtId="174" fontId="47" fillId="0" borderId="0" xfId="0" applyNumberFormat="1" applyFont="1"/>
    <xf numFmtId="0" fontId="47" fillId="0" borderId="0" xfId="0" applyFont="1"/>
    <xf numFmtId="49" fontId="47" fillId="0" borderId="0" xfId="0" applyNumberFormat="1" applyFont="1"/>
    <xf numFmtId="0" fontId="56" fillId="0" borderId="33" xfId="48" applyNumberFormat="1" applyFont="1" applyFill="1" applyBorder="1"/>
    <xf numFmtId="0" fontId="56" fillId="0" borderId="34" xfId="48" applyNumberFormat="1" applyFont="1" applyFill="1" applyBorder="1"/>
    <xf numFmtId="175" fontId="56" fillId="0" borderId="35" xfId="48" applyNumberFormat="1" applyFont="1" applyFill="1" applyBorder="1"/>
    <xf numFmtId="175" fontId="56" fillId="0" borderId="0" xfId="48" applyNumberFormat="1" applyFont="1" applyFill="1" applyBorder="1"/>
    <xf numFmtId="49" fontId="53" fillId="0" borderId="0" xfId="0" applyNumberFormat="1" applyFont="1"/>
    <xf numFmtId="0" fontId="43" fillId="2" borderId="1" xfId="0" applyFont="1" applyFill="1" applyBorder="1" applyAlignment="1">
      <alignment horizontal="center" vertical="center"/>
    </xf>
    <xf numFmtId="3" fontId="43" fillId="2" borderId="1" xfId="0" applyNumberFormat="1" applyFont="1" applyFill="1" applyBorder="1" applyAlignment="1">
      <alignment horizontal="center" vertical="center"/>
    </xf>
    <xf numFmtId="49" fontId="43" fillId="2" borderId="1" xfId="0" applyNumberFormat="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wrapText="1"/>
    </xf>
    <xf numFmtId="0" fontId="53" fillId="2" borderId="13" xfId="0" applyFont="1" applyFill="1" applyBorder="1" applyAlignment="1">
      <alignment horizontal="center" vertical="center" wrapText="1"/>
    </xf>
    <xf numFmtId="0" fontId="47" fillId="2" borderId="16" xfId="0" applyFont="1" applyFill="1" applyBorder="1" applyAlignment="1">
      <alignment horizontal="center" vertical="center" wrapText="1"/>
    </xf>
    <xf numFmtId="0" fontId="47" fillId="2" borderId="17" xfId="0" applyFont="1" applyFill="1" applyBorder="1" applyAlignment="1">
      <alignment horizontal="center" vertical="center" wrapText="1"/>
    </xf>
    <xf numFmtId="0" fontId="47" fillId="2" borderId="18" xfId="0" applyFont="1" applyFill="1" applyBorder="1" applyAlignment="1">
      <alignment horizontal="center" vertical="center" wrapText="1"/>
    </xf>
    <xf numFmtId="0" fontId="42" fillId="2" borderId="19" xfId="0" applyFont="1" applyFill="1" applyBorder="1" applyAlignment="1">
      <alignment horizontal="center" vertical="center" wrapText="1"/>
    </xf>
    <xf numFmtId="49" fontId="42" fillId="2" borderId="19" xfId="0" applyNumberFormat="1" applyFont="1" applyFill="1" applyBorder="1" applyAlignment="1">
      <alignment horizontal="center" vertical="center" wrapText="1"/>
    </xf>
    <xf numFmtId="0" fontId="53" fillId="2" borderId="37" xfId="0" applyFont="1" applyFill="1" applyBorder="1" applyAlignment="1">
      <alignment horizontal="center" vertical="center" wrapText="1"/>
    </xf>
    <xf numFmtId="0" fontId="47" fillId="2" borderId="43" xfId="0" applyFont="1" applyFill="1" applyBorder="1" applyAlignment="1">
      <alignment horizontal="center" vertical="center" wrapText="1"/>
    </xf>
    <xf numFmtId="0" fontId="47" fillId="2" borderId="44" xfId="0" applyFont="1" applyFill="1" applyBorder="1" applyAlignment="1">
      <alignment horizontal="center" vertical="center" wrapText="1"/>
    </xf>
    <xf numFmtId="0" fontId="47" fillId="2" borderId="45" xfId="0" applyFont="1" applyFill="1" applyBorder="1" applyAlignment="1">
      <alignment horizontal="center" vertical="center" wrapText="1"/>
    </xf>
    <xf numFmtId="0" fontId="42" fillId="2" borderId="46" xfId="0" applyFont="1" applyFill="1" applyBorder="1" applyAlignment="1">
      <alignment horizontal="center" vertical="center" wrapText="1"/>
    </xf>
    <xf numFmtId="49" fontId="42" fillId="2" borderId="46" xfId="0" applyNumberFormat="1" applyFont="1" applyFill="1" applyBorder="1" applyAlignment="1">
      <alignment horizontal="center" vertical="center" wrapText="1"/>
    </xf>
    <xf numFmtId="0" fontId="53" fillId="2" borderId="13" xfId="0" applyFont="1" applyFill="1" applyBorder="1" applyAlignment="1">
      <alignment horizontal="center" vertical="center"/>
    </xf>
    <xf numFmtId="0" fontId="53" fillId="2" borderId="14" xfId="0" applyFont="1" applyFill="1" applyBorder="1" applyAlignment="1">
      <alignment horizontal="center" vertical="center"/>
    </xf>
    <xf numFmtId="0" fontId="47" fillId="2" borderId="16" xfId="0" applyFont="1" applyFill="1" applyBorder="1" applyAlignment="1">
      <alignment horizontal="center" vertical="center"/>
    </xf>
    <xf numFmtId="0" fontId="47" fillId="2" borderId="17" xfId="0" applyFont="1" applyFill="1" applyBorder="1" applyAlignment="1">
      <alignment horizontal="center" vertical="center"/>
    </xf>
    <xf numFmtId="49" fontId="47" fillId="2" borderId="18" xfId="0" applyNumberFormat="1" applyFont="1" applyFill="1" applyBorder="1" applyAlignment="1">
      <alignment horizontal="center" vertical="center"/>
    </xf>
    <xf numFmtId="49" fontId="42" fillId="2" borderId="19" xfId="0" applyNumberFormat="1" applyFont="1" applyFill="1" applyBorder="1" applyAlignment="1">
      <alignment horizontal="center"/>
    </xf>
    <xf numFmtId="0" fontId="42" fillId="0" borderId="17" xfId="0" applyFont="1" applyBorder="1"/>
    <xf numFmtId="0" fontId="53" fillId="0" borderId="17" xfId="0" applyFont="1" applyBorder="1"/>
    <xf numFmtId="49" fontId="53" fillId="0" borderId="17" xfId="0" applyNumberFormat="1" applyFont="1" applyBorder="1"/>
    <xf numFmtId="49" fontId="42" fillId="0" borderId="17" xfId="0" applyNumberFormat="1" applyFont="1" applyBorder="1"/>
    <xf numFmtId="0" fontId="42" fillId="0" borderId="17" xfId="1" applyFont="1" applyBorder="1" applyAlignment="1">
      <alignment horizontal="left"/>
    </xf>
    <xf numFmtId="49" fontId="42" fillId="0" borderId="17" xfId="1" applyNumberFormat="1" applyFont="1" applyBorder="1" applyAlignment="1">
      <alignment horizontal="left"/>
    </xf>
    <xf numFmtId="49" fontId="42" fillId="0" borderId="28" xfId="0" applyNumberFormat="1" applyFont="1" applyBorder="1"/>
    <xf numFmtId="0" fontId="47" fillId="0" borderId="2" xfId="1" applyFont="1" applyBorder="1"/>
    <xf numFmtId="0" fontId="47" fillId="0" borderId="0" xfId="1" applyFont="1"/>
    <xf numFmtId="0" fontId="57" fillId="0" borderId="0" xfId="1" applyFont="1"/>
    <xf numFmtId="174" fontId="53" fillId="0" borderId="0" xfId="0" applyNumberFormat="1" applyFont="1"/>
    <xf numFmtId="174" fontId="43" fillId="2" borderId="1" xfId="0" applyNumberFormat="1" applyFont="1" applyFill="1" applyBorder="1" applyAlignment="1">
      <alignment horizontal="center" vertical="center"/>
    </xf>
    <xf numFmtId="174" fontId="42" fillId="2" borderId="19" xfId="0" applyNumberFormat="1" applyFont="1" applyFill="1" applyBorder="1" applyAlignment="1">
      <alignment horizontal="center" vertical="center" wrapText="1"/>
    </xf>
    <xf numFmtId="174" fontId="42" fillId="2" borderId="46" xfId="0" applyNumberFormat="1" applyFont="1" applyFill="1" applyBorder="1" applyAlignment="1">
      <alignment horizontal="center" vertical="center" wrapText="1"/>
    </xf>
    <xf numFmtId="174" fontId="42" fillId="2" borderId="19" xfId="0" applyNumberFormat="1" applyFont="1" applyFill="1" applyBorder="1" applyAlignment="1">
      <alignment horizontal="center"/>
    </xf>
    <xf numFmtId="174" fontId="53" fillId="0" borderId="17" xfId="0" applyNumberFormat="1" applyFont="1" applyBorder="1"/>
    <xf numFmtId="174" fontId="42" fillId="0" borderId="17" xfId="0" applyNumberFormat="1" applyFont="1" applyBorder="1"/>
    <xf numFmtId="174" fontId="42" fillId="0" borderId="17" xfId="1" applyNumberFormat="1" applyFont="1" applyBorder="1" applyAlignment="1">
      <alignment horizontal="left"/>
    </xf>
    <xf numFmtId="174" fontId="42" fillId="0" borderId="22" xfId="0" applyNumberFormat="1" applyFont="1" applyBorder="1"/>
    <xf numFmtId="174" fontId="42" fillId="0" borderId="28" xfId="0" applyNumberFormat="1" applyFont="1" applyBorder="1"/>
    <xf numFmtId="174" fontId="4" fillId="0" borderId="0" xfId="0" applyNumberFormat="1" applyFont="1"/>
    <xf numFmtId="174" fontId="40" fillId="0" borderId="0" xfId="1" applyNumberFormat="1" applyFont="1"/>
    <xf numFmtId="0" fontId="42" fillId="0" borderId="44" xfId="0" applyFont="1" applyBorder="1" applyAlignment="1">
      <alignment horizontal="center"/>
    </xf>
    <xf numFmtId="0" fontId="42" fillId="0" borderId="44" xfId="0" applyFont="1" applyBorder="1"/>
    <xf numFmtId="174" fontId="52" fillId="0" borderId="0" xfId="2" applyNumberFormat="1" applyFont="1" applyAlignment="1">
      <alignment vertical="center"/>
    </xf>
    <xf numFmtId="0" fontId="51" fillId="0" borderId="2" xfId="1" applyFont="1" applyBorder="1"/>
    <xf numFmtId="9" fontId="51" fillId="0" borderId="2" xfId="1" applyNumberFormat="1" applyFont="1" applyBorder="1"/>
    <xf numFmtId="9" fontId="51" fillId="0" borderId="0" xfId="1" applyNumberFormat="1" applyFont="1"/>
    <xf numFmtId="174" fontId="51" fillId="0" borderId="0" xfId="1" applyNumberFormat="1" applyFont="1"/>
    <xf numFmtId="0" fontId="42" fillId="0" borderId="0" xfId="1" applyFont="1"/>
    <xf numFmtId="49" fontId="51" fillId="0" borderId="0" xfId="1" applyNumberFormat="1" applyFont="1"/>
    <xf numFmtId="0" fontId="42" fillId="25" borderId="49" xfId="0" applyFont="1" applyFill="1" applyBorder="1"/>
    <xf numFmtId="0" fontId="42" fillId="2" borderId="49" xfId="0" applyFont="1" applyFill="1" applyBorder="1"/>
    <xf numFmtId="0" fontId="42" fillId="25" borderId="22" xfId="0" applyFont="1" applyFill="1" applyBorder="1"/>
    <xf numFmtId="0" fontId="42" fillId="2" borderId="22" xfId="0" applyFont="1" applyFill="1" applyBorder="1"/>
    <xf numFmtId="0" fontId="42" fillId="2" borderId="96" xfId="0" applyFont="1" applyFill="1" applyBorder="1"/>
    <xf numFmtId="0" fontId="42" fillId="25" borderId="28" xfId="0" applyFont="1" applyFill="1" applyBorder="1"/>
    <xf numFmtId="0" fontId="42" fillId="2" borderId="28" xfId="0" applyFont="1" applyFill="1" applyBorder="1"/>
    <xf numFmtId="0" fontId="42" fillId="2" borderId="39" xfId="0" applyFont="1" applyFill="1" applyBorder="1"/>
    <xf numFmtId="0" fontId="59" fillId="0" borderId="0" xfId="0" applyFont="1"/>
    <xf numFmtId="0" fontId="58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50" fillId="0" borderId="15" xfId="1" applyFont="1" applyBorder="1" applyAlignment="1">
      <alignment horizontal="center" vertical="center" wrapText="1"/>
    </xf>
    <xf numFmtId="0" fontId="43" fillId="0" borderId="78" xfId="0" applyFont="1" applyBorder="1" applyAlignment="1">
      <alignment horizontal="center" vertical="center" wrapText="1"/>
    </xf>
    <xf numFmtId="0" fontId="43" fillId="0" borderId="79" xfId="0" applyFont="1" applyBorder="1" applyAlignment="1">
      <alignment horizontal="center" vertical="center" wrapText="1"/>
    </xf>
    <xf numFmtId="0" fontId="43" fillId="0" borderId="80" xfId="0" applyFont="1" applyBorder="1" applyAlignment="1">
      <alignment horizontal="center" vertical="center" wrapText="1"/>
    </xf>
    <xf numFmtId="174" fontId="46" fillId="0" borderId="0" xfId="2" applyNumberFormat="1" applyFont="1" applyAlignment="1">
      <alignment horizontal="center" vertical="center" wrapText="1"/>
    </xf>
    <xf numFmtId="0" fontId="47" fillId="0" borderId="43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174" fontId="47" fillId="0" borderId="61" xfId="0" applyNumberFormat="1" applyFont="1" applyBorder="1" applyAlignment="1">
      <alignment horizontal="center" vertical="center"/>
    </xf>
    <xf numFmtId="174" fontId="47" fillId="0" borderId="2" xfId="0" applyNumberFormat="1" applyFont="1" applyBorder="1" applyAlignment="1">
      <alignment horizontal="center" vertical="center"/>
    </xf>
    <xf numFmtId="174" fontId="47" fillId="0" borderId="45" xfId="0" applyNumberFormat="1" applyFont="1" applyBorder="1" applyAlignment="1">
      <alignment horizontal="center" vertical="center"/>
    </xf>
    <xf numFmtId="0" fontId="42" fillId="0" borderId="73" xfId="0" applyFont="1" applyBorder="1" applyAlignment="1">
      <alignment horizontal="center" vertical="center"/>
    </xf>
    <xf numFmtId="0" fontId="42" fillId="0" borderId="85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42" fillId="0" borderId="57" xfId="0" applyFont="1" applyBorder="1" applyAlignment="1">
      <alignment horizontal="center" vertical="center"/>
    </xf>
    <xf numFmtId="0" fontId="42" fillId="0" borderId="75" xfId="0" applyFont="1" applyBorder="1" applyAlignment="1">
      <alignment horizontal="left" vertical="top"/>
    </xf>
    <xf numFmtId="0" fontId="42" fillId="0" borderId="76" xfId="0" applyFont="1" applyBorder="1" applyAlignment="1">
      <alignment horizontal="left" vertical="top"/>
    </xf>
    <xf numFmtId="0" fontId="42" fillId="0" borderId="78" xfId="0" applyFont="1" applyBorder="1" applyAlignment="1">
      <alignment horizontal="center" vertical="top"/>
    </xf>
    <xf numFmtId="0" fontId="42" fillId="0" borderId="79" xfId="0" applyFont="1" applyBorder="1" applyAlignment="1">
      <alignment horizontal="center" vertical="top"/>
    </xf>
    <xf numFmtId="0" fontId="42" fillId="0" borderId="80" xfId="0" applyFont="1" applyBorder="1" applyAlignment="1">
      <alignment horizontal="center" vertical="top"/>
    </xf>
    <xf numFmtId="0" fontId="42" fillId="0" borderId="79" xfId="0" applyFont="1" applyBorder="1" applyAlignment="1">
      <alignment horizontal="left" vertical="center"/>
    </xf>
    <xf numFmtId="0" fontId="42" fillId="0" borderId="80" xfId="0" applyFont="1" applyBorder="1" applyAlignment="1">
      <alignment horizontal="left" vertical="center"/>
    </xf>
    <xf numFmtId="0" fontId="42" fillId="0" borderId="79" xfId="0" applyFont="1" applyBorder="1" applyAlignment="1">
      <alignment horizontal="left" vertical="top"/>
    </xf>
    <xf numFmtId="0" fontId="42" fillId="0" borderId="80" xfId="0" applyFont="1" applyBorder="1" applyAlignment="1">
      <alignment horizontal="left" vertical="top"/>
    </xf>
    <xf numFmtId="0" fontId="42" fillId="0" borderId="89" xfId="0" applyFont="1" applyBorder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42" fillId="26" borderId="61" xfId="0" applyFont="1" applyFill="1" applyBorder="1" applyAlignment="1">
      <alignment horizontal="center"/>
    </xf>
    <xf numFmtId="0" fontId="42" fillId="26" borderId="2" xfId="0" applyFont="1" applyFill="1" applyBorder="1" applyAlignment="1">
      <alignment horizontal="center"/>
    </xf>
    <xf numFmtId="0" fontId="42" fillId="26" borderId="35" xfId="0" applyFont="1" applyFill="1" applyBorder="1" applyAlignment="1">
      <alignment horizontal="center"/>
    </xf>
    <xf numFmtId="0" fontId="42" fillId="0" borderId="58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/>
    </xf>
    <xf numFmtId="0" fontId="46" fillId="0" borderId="45" xfId="0" applyFont="1" applyBorder="1" applyAlignment="1">
      <alignment horizontal="center" vertical="center"/>
    </xf>
    <xf numFmtId="0" fontId="53" fillId="0" borderId="73" xfId="0" applyFont="1" applyBorder="1" applyAlignment="1">
      <alignment horizontal="center" vertical="center"/>
    </xf>
    <xf numFmtId="0" fontId="42" fillId="0" borderId="59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72" xfId="0" applyFont="1" applyBorder="1" applyAlignment="1">
      <alignment horizontal="center" vertical="center"/>
    </xf>
    <xf numFmtId="0" fontId="53" fillId="0" borderId="91" xfId="0" applyFont="1" applyBorder="1" applyAlignment="1">
      <alignment horizontal="center" vertical="top"/>
    </xf>
    <xf numFmtId="0" fontId="53" fillId="0" borderId="75" xfId="0" applyFont="1" applyBorder="1" applyAlignment="1">
      <alignment horizontal="center" vertical="top"/>
    </xf>
    <xf numFmtId="0" fontId="53" fillId="0" borderId="77" xfId="0" applyFont="1" applyBorder="1" applyAlignment="1">
      <alignment horizontal="center" vertical="top"/>
    </xf>
    <xf numFmtId="0" fontId="53" fillId="0" borderId="92" xfId="0" applyFont="1" applyBorder="1" applyAlignment="1">
      <alignment horizontal="center" vertical="top"/>
    </xf>
    <xf numFmtId="0" fontId="53" fillId="0" borderId="79" xfId="0" applyFont="1" applyBorder="1" applyAlignment="1">
      <alignment horizontal="center" vertical="top"/>
    </xf>
    <xf numFmtId="0" fontId="53" fillId="0" borderId="81" xfId="0" applyFont="1" applyBorder="1" applyAlignment="1">
      <alignment horizontal="center" vertical="top"/>
    </xf>
    <xf numFmtId="0" fontId="53" fillId="0" borderId="79" xfId="0" applyFont="1" applyBorder="1" applyAlignment="1">
      <alignment horizontal="left" vertical="top"/>
    </xf>
    <xf numFmtId="0" fontId="53" fillId="0" borderId="80" xfId="0" applyFont="1" applyBorder="1" applyAlignment="1">
      <alignment horizontal="left" vertical="top"/>
    </xf>
    <xf numFmtId="0" fontId="53" fillId="0" borderId="93" xfId="0" applyFont="1" applyBorder="1" applyAlignment="1">
      <alignment horizontal="center" vertical="top"/>
    </xf>
    <xf numFmtId="0" fontId="53" fillId="0" borderId="83" xfId="0" applyFont="1" applyBorder="1" applyAlignment="1">
      <alignment horizontal="center" vertical="top"/>
    </xf>
    <xf numFmtId="0" fontId="53" fillId="0" borderId="84" xfId="0" applyFont="1" applyBorder="1" applyAlignment="1">
      <alignment horizontal="center" vertical="top"/>
    </xf>
    <xf numFmtId="0" fontId="52" fillId="0" borderId="0" xfId="2" applyFont="1" applyAlignment="1">
      <alignment horizontal="center" vertical="center" wrapText="1"/>
    </xf>
    <xf numFmtId="0" fontId="50" fillId="0" borderId="0" xfId="1" applyFont="1" applyAlignment="1">
      <alignment horizontal="center" vertical="center" wrapText="1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2" fillId="0" borderId="44" xfId="0" applyFont="1" applyBorder="1" applyAlignment="1">
      <alignment horizontal="center"/>
    </xf>
    <xf numFmtId="174" fontId="42" fillId="25" borderId="49" xfId="0" applyNumberFormat="1" applyFont="1" applyFill="1" applyBorder="1" applyAlignment="1">
      <alignment horizontal="center" vertical="center"/>
    </xf>
    <xf numFmtId="174" fontId="42" fillId="25" borderId="22" xfId="0" applyNumberFormat="1" applyFont="1" applyFill="1" applyBorder="1" applyAlignment="1">
      <alignment horizontal="center" vertical="center"/>
    </xf>
    <xf numFmtId="174" fontId="42" fillId="25" borderId="28" xfId="0" applyNumberFormat="1" applyFont="1" applyFill="1" applyBorder="1" applyAlignment="1">
      <alignment horizontal="center" vertical="center"/>
    </xf>
    <xf numFmtId="174" fontId="42" fillId="2" borderId="49" xfId="0" applyNumberFormat="1" applyFont="1" applyFill="1" applyBorder="1" applyAlignment="1">
      <alignment horizontal="center" vertical="center"/>
    </xf>
    <xf numFmtId="174" fontId="42" fillId="2" borderId="22" xfId="0" applyNumberFormat="1" applyFont="1" applyFill="1" applyBorder="1" applyAlignment="1">
      <alignment horizontal="center" vertical="center"/>
    </xf>
    <xf numFmtId="174" fontId="42" fillId="2" borderId="28" xfId="0" applyNumberFormat="1" applyFont="1" applyFill="1" applyBorder="1" applyAlignment="1">
      <alignment horizontal="center" vertical="center"/>
    </xf>
    <xf numFmtId="174" fontId="47" fillId="2" borderId="22" xfId="0" applyNumberFormat="1" applyFont="1" applyFill="1" applyBorder="1"/>
    <xf numFmtId="174" fontId="47" fillId="2" borderId="71" xfId="0" applyNumberFormat="1" applyFont="1" applyFill="1" applyBorder="1"/>
    <xf numFmtId="0" fontId="56" fillId="2" borderId="22" xfId="0" applyFont="1" applyFill="1" applyBorder="1"/>
    <xf numFmtId="0" fontId="56" fillId="2" borderId="21" xfId="0" applyFont="1" applyFill="1" applyBorder="1"/>
    <xf numFmtId="49" fontId="56" fillId="2" borderId="23" xfId="0" applyNumberFormat="1" applyFont="1" applyFill="1" applyBorder="1"/>
    <xf numFmtId="49" fontId="47" fillId="2" borderId="24" xfId="0" applyNumberFormat="1" applyFont="1" applyFill="1" applyBorder="1"/>
    <xf numFmtId="49" fontId="47" fillId="2" borderId="25" xfId="0" applyNumberFormat="1" applyFont="1" applyFill="1" applyBorder="1"/>
    <xf numFmtId="0" fontId="47" fillId="2" borderId="26" xfId="0" applyFont="1" applyFill="1" applyBorder="1"/>
    <xf numFmtId="0" fontId="56" fillId="2" borderId="54" xfId="0" applyFont="1" applyFill="1" applyBorder="1"/>
    <xf numFmtId="0" fontId="47" fillId="2" borderId="25" xfId="0" applyFont="1" applyFill="1" applyBorder="1"/>
    <xf numFmtId="0" fontId="47" fillId="2" borderId="24" xfId="0" applyFont="1" applyFill="1" applyBorder="1"/>
    <xf numFmtId="175" fontId="47" fillId="2" borderId="21" xfId="48" applyNumberFormat="1" applyFont="1" applyFill="1" applyBorder="1" applyAlignment="1">
      <alignment shrinkToFit="1"/>
    </xf>
    <xf numFmtId="175" fontId="47" fillId="2" borderId="22" xfId="48" applyNumberFormat="1" applyFont="1" applyFill="1" applyBorder="1" applyAlignment="1">
      <alignment shrinkToFit="1"/>
    </xf>
    <xf numFmtId="0" fontId="47" fillId="2" borderId="22" xfId="0" applyFont="1" applyFill="1" applyBorder="1"/>
    <xf numFmtId="0" fontId="57" fillId="2" borderId="0" xfId="1" applyFont="1" applyFill="1"/>
    <xf numFmtId="0" fontId="51" fillId="2" borderId="0" xfId="1" applyFont="1" applyFill="1"/>
    <xf numFmtId="9" fontId="51" fillId="2" borderId="0" xfId="1" applyNumberFormat="1" applyFont="1" applyFill="1"/>
    <xf numFmtId="174" fontId="47" fillId="2" borderId="97" xfId="0" applyNumberFormat="1" applyFont="1" applyFill="1" applyBorder="1"/>
    <xf numFmtId="49" fontId="56" fillId="2" borderId="56" xfId="0" applyNumberFormat="1" applyFont="1" applyFill="1" applyBorder="1"/>
    <xf numFmtId="174" fontId="47" fillId="2" borderId="99" xfId="0" applyNumberFormat="1" applyFont="1" applyFill="1" applyBorder="1"/>
    <xf numFmtId="0" fontId="56" fillId="2" borderId="96" xfId="0" applyFont="1" applyFill="1" applyBorder="1"/>
    <xf numFmtId="49" fontId="56" fillId="2" borderId="24" xfId="0" applyNumberFormat="1" applyFont="1" applyFill="1" applyBorder="1"/>
    <xf numFmtId="174" fontId="47" fillId="27" borderId="22" xfId="0" applyNumberFormat="1" applyFont="1" applyFill="1" applyBorder="1"/>
    <xf numFmtId="174" fontId="47" fillId="27" borderId="71" xfId="0" applyNumberFormat="1" applyFont="1" applyFill="1" applyBorder="1"/>
    <xf numFmtId="0" fontId="56" fillId="27" borderId="22" xfId="0" applyFont="1" applyFill="1" applyBorder="1"/>
    <xf numFmtId="49" fontId="56" fillId="27" borderId="23" xfId="0" applyNumberFormat="1" applyFont="1" applyFill="1" applyBorder="1"/>
    <xf numFmtId="49" fontId="47" fillId="27" borderId="24" xfId="0" applyNumberFormat="1" applyFont="1" applyFill="1" applyBorder="1"/>
    <xf numFmtId="49" fontId="47" fillId="27" borderId="25" xfId="0" applyNumberFormat="1" applyFont="1" applyFill="1" applyBorder="1"/>
    <xf numFmtId="0" fontId="47" fillId="27" borderId="26" xfId="0" applyFont="1" applyFill="1" applyBorder="1"/>
    <xf numFmtId="0" fontId="56" fillId="27" borderId="54" xfId="0" applyFont="1" applyFill="1" applyBorder="1"/>
    <xf numFmtId="0" fontId="47" fillId="27" borderId="25" xfId="0" applyFont="1" applyFill="1" applyBorder="1"/>
    <xf numFmtId="0" fontId="47" fillId="27" borderId="24" xfId="0" applyFont="1" applyFill="1" applyBorder="1"/>
    <xf numFmtId="175" fontId="47" fillId="27" borderId="21" xfId="48" applyNumberFormat="1" applyFont="1" applyFill="1" applyBorder="1" applyAlignment="1">
      <alignment shrinkToFit="1"/>
    </xf>
    <xf numFmtId="175" fontId="47" fillId="27" borderId="22" xfId="48" applyNumberFormat="1" applyFont="1" applyFill="1" applyBorder="1" applyAlignment="1">
      <alignment shrinkToFit="1"/>
    </xf>
    <xf numFmtId="0" fontId="47" fillId="27" borderId="22" xfId="0" applyFont="1" applyFill="1" applyBorder="1"/>
    <xf numFmtId="0" fontId="57" fillId="27" borderId="0" xfId="1" applyFont="1" applyFill="1"/>
    <xf numFmtId="0" fontId="51" fillId="27" borderId="0" xfId="1" applyFont="1" applyFill="1"/>
    <xf numFmtId="9" fontId="51" fillId="27" borderId="0" xfId="1" applyNumberFormat="1" applyFont="1" applyFill="1"/>
    <xf numFmtId="49" fontId="56" fillId="27" borderId="24" xfId="0" applyNumberFormat="1" applyFont="1" applyFill="1" applyBorder="1"/>
    <xf numFmtId="174" fontId="57" fillId="27" borderId="22" xfId="0" applyNumberFormat="1" applyFont="1" applyFill="1" applyBorder="1"/>
    <xf numFmtId="174" fontId="57" fillId="27" borderId="71" xfId="0" applyNumberFormat="1" applyFont="1" applyFill="1" applyBorder="1"/>
    <xf numFmtId="0" fontId="57" fillId="27" borderId="22" xfId="0" applyFont="1" applyFill="1" applyBorder="1"/>
    <xf numFmtId="49" fontId="57" fillId="27" borderId="23" xfId="0" applyNumberFormat="1" applyFont="1" applyFill="1" applyBorder="1"/>
    <xf numFmtId="49" fontId="57" fillId="27" borderId="24" xfId="0" applyNumberFormat="1" applyFont="1" applyFill="1" applyBorder="1"/>
    <xf numFmtId="49" fontId="57" fillId="27" borderId="25" xfId="0" applyNumberFormat="1" applyFont="1" applyFill="1" applyBorder="1"/>
    <xf numFmtId="0" fontId="57" fillId="27" borderId="26" xfId="0" applyFont="1" applyFill="1" applyBorder="1"/>
    <xf numFmtId="0" fontId="57" fillId="27" borderId="54" xfId="0" applyFont="1" applyFill="1" applyBorder="1"/>
    <xf numFmtId="0" fontId="57" fillId="27" borderId="25" xfId="0" applyFont="1" applyFill="1" applyBorder="1"/>
    <xf numFmtId="0" fontId="57" fillId="27" borderId="24" xfId="0" applyFont="1" applyFill="1" applyBorder="1"/>
    <xf numFmtId="175" fontId="57" fillId="27" borderId="21" xfId="48" applyNumberFormat="1" applyFont="1" applyFill="1" applyBorder="1" applyAlignment="1">
      <alignment shrinkToFit="1"/>
    </xf>
    <xf numFmtId="175" fontId="57" fillId="27" borderId="22" xfId="48" applyNumberFormat="1" applyFont="1" applyFill="1" applyBorder="1" applyAlignment="1">
      <alignment shrinkToFit="1"/>
    </xf>
    <xf numFmtId="0" fontId="61" fillId="27" borderId="0" xfId="1" applyFont="1" applyFill="1"/>
    <xf numFmtId="9" fontId="61" fillId="27" borderId="0" xfId="1" applyNumberFormat="1" applyFont="1" applyFill="1"/>
    <xf numFmtId="0" fontId="62" fillId="0" borderId="0" xfId="44" applyFont="1" applyAlignment="1">
      <alignment horizontal="center"/>
    </xf>
    <xf numFmtId="0" fontId="63" fillId="0" borderId="0" xfId="44" applyFont="1" applyAlignment="1">
      <alignment horizontal="center" vertical="center"/>
    </xf>
    <xf numFmtId="0" fontId="62" fillId="0" borderId="0" xfId="44" applyFont="1" applyAlignment="1"/>
    <xf numFmtId="0" fontId="10" fillId="0" borderId="0" xfId="44" applyAlignment="1"/>
    <xf numFmtId="0" fontId="65" fillId="0" borderId="0" xfId="44" applyFont="1" applyAlignment="1">
      <alignment vertical="center" wrapText="1"/>
    </xf>
    <xf numFmtId="0" fontId="66" fillId="0" borderId="0" xfId="44" applyFont="1" applyAlignment="1">
      <alignment horizontal="left"/>
    </xf>
    <xf numFmtId="0" fontId="67" fillId="0" borderId="0" xfId="44" applyFont="1" applyAlignment="1">
      <alignment horizontal="left" vertical="center"/>
    </xf>
    <xf numFmtId="0" fontId="68" fillId="0" borderId="57" xfId="44" applyFont="1" applyBorder="1" applyAlignment="1">
      <alignment horizontal="left" vertical="center" wrapText="1"/>
    </xf>
    <xf numFmtId="0" fontId="65" fillId="0" borderId="37" xfId="95" applyFont="1" applyBorder="1" applyAlignment="1">
      <alignment horizontal="center" vertical="center" wrapText="1"/>
    </xf>
    <xf numFmtId="0" fontId="65" fillId="0" borderId="37" xfId="44" applyFont="1" applyBorder="1" applyAlignment="1">
      <alignment horizontal="center" vertical="center" wrapText="1"/>
    </xf>
    <xf numFmtId="0" fontId="65" fillId="0" borderId="46" xfId="44" applyFont="1" applyBorder="1" applyAlignment="1">
      <alignment horizontal="center" vertical="center" wrapText="1"/>
    </xf>
    <xf numFmtId="0" fontId="62" fillId="0" borderId="0" xfId="44" applyFont="1" applyAlignment="1">
      <alignment vertical="center"/>
    </xf>
    <xf numFmtId="0" fontId="70" fillId="0" borderId="0" xfId="44" applyFont="1" applyBorder="1" applyAlignment="1">
      <alignment horizontal="center" vertical="center"/>
    </xf>
    <xf numFmtId="0" fontId="71" fillId="0" borderId="0" xfId="44" applyFont="1" applyBorder="1" applyAlignment="1">
      <alignment horizontal="center" vertical="center"/>
    </xf>
    <xf numFmtId="4" fontId="71" fillId="0" borderId="0" xfId="27" applyNumberFormat="1" applyFont="1" applyBorder="1" applyAlignment="1">
      <alignment horizontal="right" vertical="center"/>
    </xf>
    <xf numFmtId="177" fontId="72" fillId="0" borderId="0" xfId="44" applyNumberFormat="1" applyFont="1" applyBorder="1" applyAlignment="1">
      <alignment vertical="center"/>
    </xf>
    <xf numFmtId="0" fontId="5" fillId="0" borderId="0" xfId="44" applyFont="1" applyAlignment="1">
      <alignment horizontal="left"/>
    </xf>
    <xf numFmtId="0" fontId="69" fillId="0" borderId="0" xfId="44" applyFont="1" applyAlignment="1">
      <alignment vertical="center"/>
    </xf>
    <xf numFmtId="0" fontId="5" fillId="0" borderId="0" xfId="44" applyFont="1" applyAlignment="1"/>
    <xf numFmtId="0" fontId="5" fillId="0" borderId="0" xfId="44" applyFont="1" applyAlignment="1">
      <alignment vertical="center"/>
    </xf>
    <xf numFmtId="0" fontId="64" fillId="0" borderId="0" xfId="44" applyFont="1" applyAlignment="1">
      <alignment horizontal="center" vertical="center" wrapText="1"/>
    </xf>
    <xf numFmtId="0" fontId="73" fillId="0" borderId="0" xfId="44" applyFont="1" applyAlignment="1">
      <alignment vertical="center"/>
    </xf>
    <xf numFmtId="0" fontId="10" fillId="0" borderId="89" xfId="97" applyBorder="1" applyAlignment="1">
      <alignment vertical="center"/>
    </xf>
    <xf numFmtId="0" fontId="10" fillId="0" borderId="0" xfId="97" applyBorder="1" applyAlignment="1">
      <alignment vertical="center"/>
    </xf>
    <xf numFmtId="176" fontId="74" fillId="28" borderId="13" xfId="38" applyNumberFormat="1" applyFont="1" applyFill="1" applyBorder="1" applyAlignment="1">
      <alignment horizontal="center" vertical="center"/>
    </xf>
    <xf numFmtId="2" fontId="74" fillId="28" borderId="1" xfId="38" applyNumberFormat="1" applyFont="1" applyFill="1" applyBorder="1" applyAlignment="1">
      <alignment horizontal="right" vertical="center"/>
    </xf>
    <xf numFmtId="4" fontId="74" fillId="28" borderId="1" xfId="97" applyNumberFormat="1" applyFont="1" applyFill="1" applyBorder="1" applyAlignment="1">
      <alignment horizontal="right" vertical="center"/>
    </xf>
    <xf numFmtId="0" fontId="74" fillId="28" borderId="103" xfId="97" applyFont="1" applyFill="1" applyBorder="1" applyAlignment="1">
      <alignment horizontal="center" vertical="center" wrapText="1"/>
    </xf>
    <xf numFmtId="0" fontId="75" fillId="0" borderId="0" xfId="97" applyFont="1" applyFill="1" applyAlignment="1">
      <alignment vertical="center"/>
    </xf>
    <xf numFmtId="0" fontId="76" fillId="0" borderId="0" xfId="97" applyFont="1" applyFill="1" applyAlignment="1">
      <alignment vertical="center"/>
    </xf>
    <xf numFmtId="176" fontId="74" fillId="28" borderId="14" xfId="38" applyNumberFormat="1" applyFont="1" applyFill="1" applyBorder="1" applyAlignment="1">
      <alignment horizontal="center" vertical="center"/>
    </xf>
    <xf numFmtId="0" fontId="74" fillId="28" borderId="104" xfId="97" applyFont="1" applyFill="1" applyBorder="1" applyAlignment="1">
      <alignment vertical="center" wrapText="1"/>
    </xf>
    <xf numFmtId="0" fontId="77" fillId="28" borderId="1" xfId="97" applyFont="1" applyFill="1" applyBorder="1" applyAlignment="1">
      <alignment vertical="center" wrapText="1"/>
    </xf>
    <xf numFmtId="2" fontId="74" fillId="28" borderId="100" xfId="38" applyNumberFormat="1" applyFont="1" applyFill="1" applyBorder="1" applyAlignment="1">
      <alignment horizontal="right" vertical="center"/>
    </xf>
    <xf numFmtId="178" fontId="74" fillId="28" borderId="100" xfId="97" applyNumberFormat="1" applyFont="1" applyFill="1" applyBorder="1" applyAlignment="1">
      <alignment horizontal="right" vertical="center"/>
    </xf>
    <xf numFmtId="176" fontId="78" fillId="28" borderId="1" xfId="97" applyNumberFormat="1" applyFont="1" applyFill="1" applyBorder="1" applyAlignment="1">
      <alignment horizontal="center" vertical="center" wrapText="1"/>
    </xf>
    <xf numFmtId="4" fontId="74" fillId="28" borderId="100" xfId="97" applyNumberFormat="1" applyFont="1" applyFill="1" applyBorder="1" applyAlignment="1">
      <alignment horizontal="right" vertical="center"/>
    </xf>
    <xf numFmtId="16" fontId="74" fillId="28" borderId="104" xfId="97" applyNumberFormat="1" applyFont="1" applyFill="1" applyBorder="1" applyAlignment="1">
      <alignment vertical="center" wrapText="1"/>
    </xf>
    <xf numFmtId="0" fontId="77" fillId="28" borderId="1" xfId="97" applyFont="1" applyFill="1" applyBorder="1" applyAlignment="1">
      <alignment horizontal="center" vertical="center" wrapText="1"/>
    </xf>
    <xf numFmtId="0" fontId="4" fillId="0" borderId="0" xfId="97" applyFont="1" applyFill="1" applyAlignment="1">
      <alignment vertical="center"/>
    </xf>
    <xf numFmtId="0" fontId="10" fillId="0" borderId="0" xfId="97" applyAlignment="1">
      <alignment vertical="center"/>
    </xf>
    <xf numFmtId="2" fontId="10" fillId="0" borderId="100" xfId="97" applyNumberFormat="1" applyFill="1" applyBorder="1" applyAlignment="1">
      <alignment horizontal="right" vertical="center"/>
    </xf>
    <xf numFmtId="0" fontId="10" fillId="0" borderId="104" xfId="97" applyBorder="1" applyAlignment="1">
      <alignment horizontal="center" vertical="center"/>
    </xf>
    <xf numFmtId="176" fontId="69" fillId="28" borderId="100" xfId="44" applyNumberFormat="1" applyFont="1" applyFill="1" applyBorder="1" applyAlignment="1">
      <alignment vertical="center"/>
    </xf>
    <xf numFmtId="0" fontId="10" fillId="0" borderId="100" xfId="97" applyFill="1" applyBorder="1" applyAlignment="1">
      <alignment horizontal="center" vertical="center"/>
    </xf>
    <xf numFmtId="176" fontId="69" fillId="28" borderId="42" xfId="44" applyNumberFormat="1" applyFont="1" applyFill="1" applyBorder="1" applyAlignment="1">
      <alignment vertical="center" wrapText="1"/>
    </xf>
    <xf numFmtId="0" fontId="10" fillId="0" borderId="42" xfId="97" applyFill="1" applyBorder="1" applyAlignment="1">
      <alignment horizontal="center" vertical="center"/>
    </xf>
    <xf numFmtId="2" fontId="10" fillId="0" borderId="42" xfId="97" applyNumberFormat="1" applyFill="1" applyBorder="1" applyAlignment="1">
      <alignment horizontal="right" vertical="center"/>
    </xf>
    <xf numFmtId="0" fontId="10" fillId="0" borderId="40" xfId="97" applyBorder="1" applyAlignment="1">
      <alignment horizontal="center" vertical="center"/>
    </xf>
    <xf numFmtId="171" fontId="62" fillId="0" borderId="0" xfId="98" applyFont="1" applyAlignment="1"/>
    <xf numFmtId="43" fontId="62" fillId="0" borderId="0" xfId="44" applyNumberFormat="1" applyFont="1" applyAlignment="1"/>
    <xf numFmtId="0" fontId="66" fillId="29" borderId="0" xfId="44" applyFont="1" applyFill="1" applyAlignment="1">
      <alignment horizontal="left" vertical="center"/>
    </xf>
    <xf numFmtId="0" fontId="72" fillId="29" borderId="0" xfId="44" applyFont="1" applyFill="1" applyAlignment="1">
      <alignment vertical="center"/>
    </xf>
    <xf numFmtId="179" fontId="72" fillId="29" borderId="0" xfId="98" applyNumberFormat="1" applyFont="1" applyFill="1" applyAlignment="1">
      <alignment vertical="center"/>
    </xf>
    <xf numFmtId="171" fontId="62" fillId="0" borderId="0" xfId="98" applyFont="1" applyAlignment="1">
      <alignment vertical="center"/>
    </xf>
    <xf numFmtId="0" fontId="10" fillId="0" borderId="0" xfId="97" applyAlignment="1">
      <alignment horizontal="center" vertical="center"/>
    </xf>
    <xf numFmtId="0" fontId="10" fillId="0" borderId="0" xfId="97" applyAlignment="1">
      <alignment horizontal="center"/>
    </xf>
    <xf numFmtId="0" fontId="10" fillId="0" borderId="0" xfId="97" applyAlignment="1"/>
    <xf numFmtId="0" fontId="55" fillId="30" borderId="100" xfId="94" applyFont="1" applyFill="1" applyBorder="1" applyAlignment="1">
      <alignment horizontal="center" vertical="center" wrapText="1"/>
    </xf>
    <xf numFmtId="0" fontId="55" fillId="30" borderId="1" xfId="94" applyFont="1" applyFill="1" applyBorder="1" applyAlignment="1">
      <alignment horizontal="center" vertical="center" wrapText="1"/>
    </xf>
    <xf numFmtId="0" fontId="56" fillId="30" borderId="13" xfId="0" applyFont="1" applyFill="1" applyBorder="1" applyAlignment="1">
      <alignment horizontal="center" vertical="center"/>
    </xf>
    <xf numFmtId="0" fontId="79" fillId="28" borderId="13" xfId="97" applyFont="1" applyFill="1" applyBorder="1" applyAlignment="1">
      <alignment horizontal="center" vertical="center" wrapText="1"/>
    </xf>
    <xf numFmtId="176" fontId="49" fillId="28" borderId="1" xfId="38" applyNumberFormat="1" applyFont="1" applyFill="1" applyBorder="1" applyAlignment="1">
      <alignment horizontal="center" vertical="center"/>
    </xf>
    <xf numFmtId="0" fontId="49" fillId="28" borderId="1" xfId="38" applyNumberFormat="1" applyFont="1" applyFill="1" applyBorder="1" applyAlignment="1">
      <alignment horizontal="center" vertical="center"/>
    </xf>
    <xf numFmtId="0" fontId="49" fillId="28" borderId="1" xfId="97" applyFont="1" applyFill="1" applyBorder="1" applyAlignment="1">
      <alignment horizontal="center" vertical="center" shrinkToFit="1"/>
    </xf>
    <xf numFmtId="0" fontId="49" fillId="28" borderId="78" xfId="97" quotePrefix="1" applyFont="1" applyFill="1" applyBorder="1" applyAlignment="1">
      <alignment horizontal="right" vertical="center" shrinkToFit="1"/>
    </xf>
    <xf numFmtId="0" fontId="49" fillId="28" borderId="1" xfId="38" applyFont="1" applyFill="1" applyBorder="1" applyAlignment="1">
      <alignment horizontal="right" vertical="center"/>
    </xf>
    <xf numFmtId="2" fontId="49" fillId="28" borderId="1" xfId="38" applyNumberFormat="1" applyFont="1" applyFill="1" applyBorder="1" applyAlignment="1">
      <alignment horizontal="right" vertical="center"/>
    </xf>
    <xf numFmtId="4" fontId="49" fillId="28" borderId="1" xfId="97" applyNumberFormat="1" applyFont="1" applyFill="1" applyBorder="1" applyAlignment="1">
      <alignment horizontal="right" vertical="center"/>
    </xf>
    <xf numFmtId="0" fontId="49" fillId="28" borderId="103" xfId="97" applyFont="1" applyFill="1" applyBorder="1" applyAlignment="1">
      <alignment horizontal="center" vertical="center" wrapText="1"/>
    </xf>
    <xf numFmtId="0" fontId="80" fillId="0" borderId="0" xfId="97" applyFont="1" applyFill="1" applyAlignment="1">
      <alignment vertical="center"/>
    </xf>
    <xf numFmtId="0" fontId="81" fillId="0" borderId="0" xfId="44" applyFont="1" applyAlignment="1">
      <alignment vertical="center" wrapText="1"/>
    </xf>
    <xf numFmtId="0" fontId="82" fillId="0" borderId="0" xfId="44" applyFont="1" applyAlignment="1">
      <alignment horizontal="center"/>
    </xf>
    <xf numFmtId="0" fontId="82" fillId="0" borderId="0" xfId="44" applyFont="1" applyAlignment="1">
      <alignment horizontal="left"/>
    </xf>
    <xf numFmtId="0" fontId="81" fillId="0" borderId="37" xfId="95" applyFont="1" applyBorder="1" applyAlignment="1">
      <alignment horizontal="center" vertical="center" wrapText="1"/>
    </xf>
    <xf numFmtId="0" fontId="81" fillId="0" borderId="37" xfId="95" applyFont="1" applyBorder="1" applyAlignment="1">
      <alignment horizontal="center" vertical="top" wrapText="1"/>
    </xf>
    <xf numFmtId="0" fontId="49" fillId="28" borderId="13" xfId="38" applyNumberFormat="1" applyFont="1" applyFill="1" applyBorder="1" applyAlignment="1">
      <alignment horizontal="center" vertical="center"/>
    </xf>
    <xf numFmtId="0" fontId="49" fillId="28" borderId="1" xfId="97" quotePrefix="1" applyFont="1" applyFill="1" applyBorder="1" applyAlignment="1">
      <alignment horizontal="right" vertical="center" shrinkToFit="1"/>
    </xf>
    <xf numFmtId="0" fontId="49" fillId="28" borderId="100" xfId="38" applyNumberFormat="1" applyFont="1" applyFill="1" applyBorder="1" applyAlignment="1">
      <alignment horizontal="center" vertical="center"/>
    </xf>
    <xf numFmtId="176" fontId="49" fillId="28" borderId="100" xfId="38" applyNumberFormat="1" applyFont="1" applyFill="1" applyBorder="1" applyAlignment="1">
      <alignment horizontal="center" vertical="center"/>
    </xf>
    <xf numFmtId="0" fontId="49" fillId="28" borderId="100" xfId="38" applyNumberFormat="1" applyFont="1" applyFill="1" applyBorder="1" applyAlignment="1">
      <alignment horizontal="center" vertical="center"/>
    </xf>
    <xf numFmtId="0" fontId="49" fillId="28" borderId="100" xfId="97" applyFont="1" applyFill="1" applyBorder="1" applyAlignment="1">
      <alignment horizontal="center" vertical="center" shrinkToFit="1"/>
    </xf>
    <xf numFmtId="0" fontId="49" fillId="28" borderId="105" xfId="97" quotePrefix="1" applyFont="1" applyFill="1" applyBorder="1" applyAlignment="1">
      <alignment horizontal="right" vertical="center" shrinkToFit="1"/>
    </xf>
    <xf numFmtId="0" fontId="49" fillId="28" borderId="100" xfId="38" applyFont="1" applyFill="1" applyBorder="1" applyAlignment="1">
      <alignment horizontal="right" vertical="center"/>
    </xf>
    <xf numFmtId="0" fontId="49" fillId="28" borderId="1" xfId="38" applyNumberFormat="1" applyFont="1" applyFill="1" applyBorder="1" applyAlignment="1">
      <alignment vertical="center"/>
    </xf>
    <xf numFmtId="0" fontId="49" fillId="28" borderId="100" xfId="97" quotePrefix="1" applyFont="1" applyFill="1" applyBorder="1" applyAlignment="1">
      <alignment horizontal="right" vertical="center" shrinkToFit="1"/>
    </xf>
    <xf numFmtId="0" fontId="84" fillId="28" borderId="100" xfId="97" applyFont="1" applyFill="1" applyBorder="1" applyAlignment="1">
      <alignment horizontal="center" vertical="center" shrinkToFit="1"/>
    </xf>
    <xf numFmtId="0" fontId="84" fillId="0" borderId="100" xfId="97" applyFont="1" applyBorder="1" applyAlignment="1">
      <alignment horizontal="center" vertical="center"/>
    </xf>
    <xf numFmtId="0" fontId="83" fillId="0" borderId="100" xfId="97" quotePrefix="1" applyFont="1" applyBorder="1" applyAlignment="1">
      <alignment vertical="center" wrapText="1"/>
    </xf>
    <xf numFmtId="0" fontId="83" fillId="0" borderId="100" xfId="97" applyFont="1" applyBorder="1" applyAlignment="1">
      <alignment vertical="center"/>
    </xf>
    <xf numFmtId="0" fontId="83" fillId="0" borderId="42" xfId="97" quotePrefix="1" applyFont="1" applyBorder="1" applyAlignment="1">
      <alignment vertical="center" wrapText="1"/>
    </xf>
    <xf numFmtId="0" fontId="83" fillId="0" borderId="42" xfId="97" applyFont="1" applyBorder="1" applyAlignment="1">
      <alignment vertical="center"/>
    </xf>
    <xf numFmtId="0" fontId="84" fillId="28" borderId="42" xfId="97" applyFont="1" applyFill="1" applyBorder="1" applyAlignment="1">
      <alignment horizontal="center" vertical="center" shrinkToFit="1"/>
    </xf>
    <xf numFmtId="0" fontId="84" fillId="0" borderId="42" xfId="97" applyFont="1" applyBorder="1" applyAlignment="1">
      <alignment horizontal="center" vertical="center"/>
    </xf>
    <xf numFmtId="0" fontId="85" fillId="0" borderId="0" xfId="44" applyFont="1" applyBorder="1" applyAlignment="1">
      <alignment horizontal="center" vertical="center"/>
    </xf>
    <xf numFmtId="0" fontId="48" fillId="0" borderId="0" xfId="44" applyFont="1" applyAlignment="1">
      <alignment vertical="center"/>
    </xf>
    <xf numFmtId="0" fontId="86" fillId="0" borderId="0" xfId="44" applyFont="1" applyAlignment="1">
      <alignment horizontal="center" vertical="center"/>
    </xf>
    <xf numFmtId="0" fontId="87" fillId="29" borderId="0" xfId="44" applyFont="1" applyFill="1" applyAlignment="1">
      <alignment horizontal="center" vertical="center"/>
    </xf>
    <xf numFmtId="0" fontId="48" fillId="29" borderId="0" xfId="44" applyFont="1" applyFill="1" applyAlignment="1">
      <alignment vertical="center"/>
    </xf>
    <xf numFmtId="0" fontId="88" fillId="29" borderId="0" xfId="44" applyFont="1" applyFill="1" applyAlignment="1">
      <alignment vertical="center"/>
    </xf>
    <xf numFmtId="0" fontId="89" fillId="29" borderId="0" xfId="44" applyFont="1" applyFill="1" applyAlignment="1">
      <alignment horizontal="left" vertical="center" indent="2"/>
    </xf>
    <xf numFmtId="0" fontId="87" fillId="0" borderId="0" xfId="44" applyFont="1" applyAlignment="1">
      <alignment horizontal="center" vertical="center"/>
    </xf>
    <xf numFmtId="0" fontId="87" fillId="0" borderId="0" xfId="44" applyFont="1" applyAlignment="1">
      <alignment vertical="center"/>
    </xf>
    <xf numFmtId="0" fontId="90" fillId="0" borderId="0" xfId="44" applyFont="1" applyFill="1" applyAlignment="1"/>
    <xf numFmtId="0" fontId="90" fillId="0" borderId="0" xfId="44" applyFont="1" applyFill="1" applyAlignment="1">
      <alignment horizontal="left" vertical="center"/>
    </xf>
    <xf numFmtId="0" fontId="87" fillId="0" borderId="0" xfId="44" applyFont="1" applyFill="1" applyAlignment="1">
      <alignment vertical="center"/>
    </xf>
    <xf numFmtId="0" fontId="87" fillId="0" borderId="0" xfId="44" applyFont="1" applyFill="1" applyAlignment="1">
      <alignment horizontal="left" vertical="center"/>
    </xf>
    <xf numFmtId="0" fontId="90" fillId="0" borderId="0" xfId="44" applyFont="1" applyFill="1" applyAlignment="1">
      <alignment vertical="center"/>
    </xf>
    <xf numFmtId="0" fontId="84" fillId="0" borderId="0" xfId="97" applyFont="1" applyAlignment="1">
      <alignment vertical="center"/>
    </xf>
    <xf numFmtId="0" fontId="84" fillId="0" borderId="0" xfId="97" applyFont="1" applyAlignment="1">
      <alignment horizontal="center" vertical="center"/>
    </xf>
    <xf numFmtId="0" fontId="84" fillId="0" borderId="0" xfId="97" applyFont="1" applyFill="1" applyAlignment="1">
      <alignment horizontal="left" vertical="center"/>
    </xf>
    <xf numFmtId="0" fontId="84" fillId="0" borderId="0" xfId="97" applyFont="1" applyAlignment="1">
      <alignment horizontal="center"/>
    </xf>
    <xf numFmtId="3" fontId="3" fillId="0" borderId="0" xfId="1" applyNumberFormat="1" applyFont="1" applyAlignment="1">
      <alignment vertical="center" wrapText="1"/>
    </xf>
    <xf numFmtId="3" fontId="2" fillId="0" borderId="0" xfId="1" applyNumberFormat="1" applyFont="1"/>
    <xf numFmtId="178" fontId="2" fillId="0" borderId="0" xfId="1" applyNumberFormat="1" applyFont="1"/>
    <xf numFmtId="0" fontId="45" fillId="0" borderId="17" xfId="0" applyFont="1" applyBorder="1"/>
    <xf numFmtId="49" fontId="45" fillId="0" borderId="17" xfId="0" applyNumberFormat="1" applyFont="1" applyBorder="1"/>
    <xf numFmtId="174" fontId="45" fillId="0" borderId="17" xfId="0" applyNumberFormat="1" applyFont="1" applyBorder="1"/>
    <xf numFmtId="178" fontId="82" fillId="0" borderId="0" xfId="1" applyNumberFormat="1" applyFont="1"/>
    <xf numFmtId="3" fontId="82" fillId="0" borderId="0" xfId="1" applyNumberFormat="1" applyFont="1"/>
    <xf numFmtId="0" fontId="82" fillId="0" borderId="0" xfId="1" applyFont="1"/>
    <xf numFmtId="174" fontId="43" fillId="2" borderId="78" xfId="0" applyNumberFormat="1" applyFont="1" applyFill="1" applyBorder="1" applyAlignment="1">
      <alignment horizontal="center" vertical="center"/>
    </xf>
    <xf numFmtId="174" fontId="42" fillId="2" borderId="89" xfId="0" applyNumberFormat="1" applyFont="1" applyFill="1" applyBorder="1" applyAlignment="1">
      <alignment horizontal="center" vertical="center" wrapText="1"/>
    </xf>
    <xf numFmtId="174" fontId="42" fillId="2" borderId="61" xfId="0" applyNumberFormat="1" applyFont="1" applyFill="1" applyBorder="1" applyAlignment="1">
      <alignment horizontal="center" vertical="center" wrapText="1"/>
    </xf>
    <xf numFmtId="174" fontId="42" fillId="2" borderId="89" xfId="0" applyNumberFormat="1" applyFont="1" applyFill="1" applyBorder="1" applyAlignment="1">
      <alignment horizontal="center"/>
    </xf>
    <xf numFmtId="174" fontId="45" fillId="0" borderId="16" xfId="0" applyNumberFormat="1" applyFont="1" applyBorder="1"/>
    <xf numFmtId="174" fontId="53" fillId="0" borderId="16" xfId="0" applyNumberFormat="1" applyFont="1" applyBorder="1"/>
    <xf numFmtId="174" fontId="42" fillId="0" borderId="16" xfId="0" applyNumberFormat="1" applyFont="1" applyBorder="1"/>
    <xf numFmtId="174" fontId="42" fillId="0" borderId="16" xfId="1" applyNumberFormat="1" applyFont="1" applyBorder="1" applyAlignment="1">
      <alignment horizontal="left"/>
    </xf>
    <xf numFmtId="174" fontId="42" fillId="0" borderId="21" xfId="0" applyNumberFormat="1" applyFont="1" applyBorder="1"/>
    <xf numFmtId="174" fontId="42" fillId="0" borderId="27" xfId="0" applyNumberFormat="1" applyFont="1" applyBorder="1"/>
    <xf numFmtId="178" fontId="2" fillId="0" borderId="1" xfId="1" applyNumberFormat="1" applyFont="1" applyBorder="1"/>
    <xf numFmtId="178" fontId="82" fillId="0" borderId="1" xfId="1" applyNumberFormat="1" applyFont="1" applyBorder="1"/>
    <xf numFmtId="3" fontId="2" fillId="0" borderId="1" xfId="1" applyNumberFormat="1" applyFont="1" applyBorder="1"/>
  </cellXfs>
  <cellStyles count="99">
    <cellStyle name="20% - 强调文字颜色 1" xfId="5"/>
    <cellStyle name="20% - 强调文字颜色 2" xfId="6"/>
    <cellStyle name="20% - 强调文字颜色 3" xfId="7"/>
    <cellStyle name="20% - 强调文字颜色 4" xfId="8"/>
    <cellStyle name="20% - 强调文字颜色 5" xfId="9"/>
    <cellStyle name="20% - 强调文字颜色 6" xfId="10"/>
    <cellStyle name="40% - 强调文字颜色 1" xfId="11"/>
    <cellStyle name="40% - 强调文字颜色 2" xfId="12"/>
    <cellStyle name="40% - 强调文字颜色 3" xfId="13"/>
    <cellStyle name="40% - 强调文字颜色 4" xfId="14"/>
    <cellStyle name="40% - 强调文字颜色 5" xfId="15"/>
    <cellStyle name="40% - 强调文字颜色 6" xfId="16"/>
    <cellStyle name="60% - 强调文字颜色 1" xfId="17"/>
    <cellStyle name="60% - 强调文字颜色 2" xfId="18"/>
    <cellStyle name="60% - 强调文字颜色 3" xfId="19"/>
    <cellStyle name="60% - 强调文字颜色 4" xfId="20"/>
    <cellStyle name="60% - 强调文字颜色 5" xfId="21"/>
    <cellStyle name="60% - 强调文字颜色 6" xfId="22"/>
    <cellStyle name="Comma [0] 2" xfId="23"/>
    <cellStyle name="Comma [0] 2 2" xfId="24"/>
    <cellStyle name="Comma [0] 3" xfId="25"/>
    <cellStyle name="Comma [0] 4" xfId="26"/>
    <cellStyle name="Comma [0] 5" xfId="27"/>
    <cellStyle name="Comma [0] 7" xfId="4"/>
    <cellStyle name="Comma [0] 7 2" xfId="28"/>
    <cellStyle name="Comma [0] 7 3" xfId="29"/>
    <cellStyle name="Comma [0] 7 4" xfId="30"/>
    <cellStyle name="Comma [0] 7 5" xfId="31"/>
    <cellStyle name="Comma [0] 7 6" xfId="32"/>
    <cellStyle name="Comma 10" xfId="98"/>
    <cellStyle name="Comma 2" xfId="96"/>
    <cellStyle name="Header1" xfId="33"/>
    <cellStyle name="Header2" xfId="34"/>
    <cellStyle name="Hyperlink 2" xfId="35"/>
    <cellStyle name="Normal" xfId="0" builtinId="0"/>
    <cellStyle name="Normal 12" xfId="94"/>
    <cellStyle name="Normal 2" xfId="36"/>
    <cellStyle name="Normal 2 2" xfId="37"/>
    <cellStyle name="Normal 2 3" xfId="38"/>
    <cellStyle name="Normal 2 4 2" xfId="97"/>
    <cellStyle name="Normal 3" xfId="39"/>
    <cellStyle name="Normal 4" xfId="1"/>
    <cellStyle name="Normal 4 2" xfId="40"/>
    <cellStyle name="Normal 5" xfId="41"/>
    <cellStyle name="Normal 5 2" xfId="42"/>
    <cellStyle name="Normal 6" xfId="43"/>
    <cellStyle name="Normal 7" xfId="44"/>
    <cellStyle name="Normal 8" xfId="45"/>
    <cellStyle name="Normal 9" xfId="46"/>
    <cellStyle name="Percent 2" xfId="3"/>
    <cellStyle name="Percent 2 2" xfId="47"/>
    <cellStyle name="Percent 3" xfId="48"/>
    <cellStyle name="똿뗦먛귟 [0.00]_PRODUCT DETAIL Q1" xfId="49"/>
    <cellStyle name="똿뗦먛귟_PRODUCT DETAIL Q1" xfId="50"/>
    <cellStyle name="믅됞 [0.00]_PRODUCT DETAIL Q1" xfId="51"/>
    <cellStyle name="믅됞_PRODUCT DETAIL Q1" xfId="52"/>
    <cellStyle name="백분율_95" xfId="53"/>
    <cellStyle name="뷭?_BOOKSHIP" xfId="54"/>
    <cellStyle name="쉼표 [0]_PACKING" xfId="55"/>
    <cellStyle name="콤마 [0]_1202" xfId="56"/>
    <cellStyle name="콤마_1202" xfId="57"/>
    <cellStyle name="통화 [0]_1202" xfId="58"/>
    <cellStyle name="통화_1202" xfId="59"/>
    <cellStyle name="표준_(정보부문)월별인원계획" xfId="60"/>
    <cellStyle name="一般_Book1" xfId="61"/>
    <cellStyle name="千位分隔[0]_Sheet1" xfId="62"/>
    <cellStyle name="千分位[0]_Book1" xfId="63"/>
    <cellStyle name="千分位_Book1" xfId="64"/>
    <cellStyle name="好" xfId="65"/>
    <cellStyle name="差" xfId="66"/>
    <cellStyle name="常规 2" xfId="67"/>
    <cellStyle name="常规_（松久）报告书模版" xfId="68"/>
    <cellStyle name="常规_（松久）报告书模版 2" xfId="2"/>
    <cellStyle name="强调文字颜色 1" xfId="69"/>
    <cellStyle name="强调文字颜色 2" xfId="70"/>
    <cellStyle name="强调文字颜色 3" xfId="71"/>
    <cellStyle name="强调文字颜色 4" xfId="72"/>
    <cellStyle name="强调文字颜色 5" xfId="73"/>
    <cellStyle name="强调文字颜色 6" xfId="74"/>
    <cellStyle name="标题" xfId="75"/>
    <cellStyle name="标题 1" xfId="76"/>
    <cellStyle name="标题 2" xfId="77"/>
    <cellStyle name="标题 3" xfId="78"/>
    <cellStyle name="标题 4" xfId="79"/>
    <cellStyle name="检查单元格" xfId="80"/>
    <cellStyle name="標準 2" xfId="81"/>
    <cellStyle name="標準 5" xfId="95"/>
    <cellStyle name="汇总" xfId="82"/>
    <cellStyle name="注释" xfId="83"/>
    <cellStyle name="百分比 2" xfId="84"/>
    <cellStyle name="解释性文本" xfId="85"/>
    <cellStyle name="警告文本" xfId="86"/>
    <cellStyle name="计算" xfId="87"/>
    <cellStyle name="貨幣 [0]_Book1" xfId="88"/>
    <cellStyle name="貨幣_Book1" xfId="89"/>
    <cellStyle name="输入" xfId="90"/>
    <cellStyle name="输出" xfId="91"/>
    <cellStyle name="适中" xfId="92"/>
    <cellStyle name="链接单元格" xfId="9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122469</xdr:colOff>
      <xdr:row>0</xdr:row>
      <xdr:rowOff>27215</xdr:rowOff>
    </xdr:from>
    <xdr:ext cx="921701" cy="775606"/>
    <xdr:pic>
      <xdr:nvPicPr>
        <xdr:cNvPr id="2" name="Picture 2" descr="logo.jpg">
          <a:extLst>
            <a:ext uri="{FF2B5EF4-FFF2-40B4-BE49-F238E27FC236}">
              <a16:creationId xmlns="" xmlns:a16="http://schemas.microsoft.com/office/drawing/2014/main" id="{63A36F26-49A0-45F3-B7F3-0DE7B74D4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9016" r="2381"/>
        <a:stretch>
          <a:fillRect/>
        </a:stretch>
      </xdr:blipFill>
      <xdr:spPr bwMode="auto">
        <a:xfrm>
          <a:off x="122469" y="27215"/>
          <a:ext cx="921701" cy="7756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21772</xdr:colOff>
      <xdr:row>0</xdr:row>
      <xdr:rowOff>0</xdr:rowOff>
    </xdr:from>
    <xdr:ext cx="921701" cy="775606"/>
    <xdr:pic>
      <xdr:nvPicPr>
        <xdr:cNvPr id="3" name="Picture 2" descr="logo.jpg">
          <a:extLst>
            <a:ext uri="{FF2B5EF4-FFF2-40B4-BE49-F238E27FC236}">
              <a16:creationId xmlns="" xmlns:a16="http://schemas.microsoft.com/office/drawing/2014/main" id="{33D1D74B-52C6-4CD0-9A7A-4E1B50500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9016" r="2381"/>
        <a:stretch>
          <a:fillRect/>
        </a:stretch>
      </xdr:blipFill>
      <xdr:spPr bwMode="auto">
        <a:xfrm>
          <a:off x="21772" y="0"/>
          <a:ext cx="921701" cy="7756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46269</xdr:colOff>
      <xdr:row>0</xdr:row>
      <xdr:rowOff>21772</xdr:rowOff>
    </xdr:from>
    <xdr:ext cx="921701" cy="775606"/>
    <xdr:pic>
      <xdr:nvPicPr>
        <xdr:cNvPr id="2" name="Picture 2" descr="logo.jpg">
          <a:extLst>
            <a:ext uri="{FF2B5EF4-FFF2-40B4-BE49-F238E27FC236}">
              <a16:creationId xmlns="" xmlns:a16="http://schemas.microsoft.com/office/drawing/2014/main" id="{B4C68377-0548-41D8-8910-20CAB9551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9016" r="2381"/>
        <a:stretch>
          <a:fillRect/>
        </a:stretch>
      </xdr:blipFill>
      <xdr:spPr bwMode="auto">
        <a:xfrm>
          <a:off x="46269" y="21772"/>
          <a:ext cx="921701" cy="7756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3</xdr:row>
      <xdr:rowOff>19050</xdr:rowOff>
    </xdr:from>
    <xdr:to>
      <xdr:col>20</xdr:col>
      <xdr:colOff>303405</xdr:colOff>
      <xdr:row>21</xdr:row>
      <xdr:rowOff>94812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590550"/>
          <a:ext cx="11161905" cy="35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1085850</xdr:colOff>
      <xdr:row>1</xdr:row>
      <xdr:rowOff>542925</xdr:rowOff>
    </xdr:to>
    <xdr:pic>
      <xdr:nvPicPr>
        <xdr:cNvPr id="2" name="Picture 2" descr="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0668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sx2\c\BANTINH\LIST\SIG\LAD24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8~1.1X6\AppData\Local\Temp\Zalo%20Temp\TempDownloads\FILE%20NGU&#7890;N%20+%20DEBIT%20NOTE%20202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dministrator\AppData\Local\Microsoft\Windows\Temporary%20Internet%20Files\Content.Outlook\9BVC6IYL\GPLG19-01&#9313;%20&#12458;&#12540;&#12480;&#12540;&#12471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vh211"/>
      <sheetName val="vh05"/>
      <sheetName val="AD24101"/>
      <sheetName val="AD24102"/>
      <sheetName val="AD24103"/>
      <sheetName val="AD24104"/>
      <sheetName val="AD24105"/>
      <sheetName val="AD24106"/>
      <sheetName val="AD24107"/>
      <sheetName val="AD24108"/>
      <sheetName val="AD24109"/>
      <sheetName val="AD24110"/>
      <sheetName val="AD24111"/>
      <sheetName val="AD24112"/>
      <sheetName val="AD24113"/>
      <sheetName val="AD24114"/>
      <sheetName val="AD24115"/>
      <sheetName val="AD24116"/>
      <sheetName val="AD24117"/>
      <sheetName val="AD24118"/>
      <sheetName val="AD24119"/>
      <sheetName val="AD24120"/>
      <sheetName val="AD24121"/>
      <sheetName val="AD24122"/>
      <sheetName val="AD24123"/>
      <sheetName val="AD24124"/>
      <sheetName val="AD24125"/>
      <sheetName val="AD24126"/>
      <sheetName val="AD24127"/>
      <sheetName val="AD24128"/>
      <sheetName val="AD24129"/>
      <sheetName val="AD24130"/>
      <sheetName val="AD24131"/>
      <sheetName val="AD24131 (2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%"/>
      <sheetName val="[LAD241.xlsMSheet12"/>
      <sheetName val="[LA"/>
      <sheetName val="[LAD241.xlsMSheet1%"/>
      <sheetName val="HD.31"/>
      <sheetName val="_LAD241.xlsMSheet12"/>
      <sheetName val="_LA"/>
      <sheetName val="_LAD241.xlsMSheet1%"/>
      <sheetName val="_x0005__x0008__x0005_਀м"/>
      <sheetName val="_x0005__x0008__x0005_??"/>
      <sheetName val="_x0005__x0008__x0005___"/>
      <sheetName val="AD24131_(2)1"/>
      <sheetName val="_LAD241_xlsMSheet121"/>
      <sheetName val="_LAD241_xlsMSheet1%1"/>
      <sheetName val="HD_311"/>
      <sheetName val="਀м"/>
      <sheetName val="__"/>
      <sheetName val="[LAD241_xlsMSheet121"/>
      <sheetName val="[LAD241_xlsMSheet1%1"/>
      <sheetName val="??"/>
      <sheetName val="AD24131_(2)"/>
      <sheetName val="_LAD241_xlsMSheet12"/>
      <sheetName val="_LAD241_xlsMSheet1%"/>
      <sheetName val="HD_31"/>
      <sheetName val="[LAD241_xlsMSheet12"/>
      <sheetName val="[LAD241_xlsMSheet1%"/>
      <sheetName val="AD24131_(2)2"/>
      <sheetName val="[LAD241_xlsMSheet122"/>
      <sheetName val="[LAD241_xlsMSheet1%2"/>
      <sheetName val="HD_312"/>
      <sheetName val="_LAD241_xlsMSheet122"/>
      <sheetName val="_LAD241_xlsMSheet1%2"/>
      <sheetName val="AD24131_(2)3"/>
      <sheetName val="[LAD241_xlsMSheet123"/>
      <sheetName val="[LAD241_xlsMSheet1%3"/>
      <sheetName val="HD_313"/>
      <sheetName val="_LAD241_xlsMSheet123"/>
      <sheetName val="_LAD241_xlsMSheet1%3"/>
      <sheetName val="AD24131_(2)4"/>
      <sheetName val="[LAD241_xlsMSheet124"/>
      <sheetName val="[LAD241_xlsMSheet1%4"/>
      <sheetName val="HD_314"/>
      <sheetName val="_LAD241_xlsMSheet124"/>
      <sheetName val="_LAD241_xlsMSheet1%4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UON fitfit"/>
      <sheetName val="DEBIT T&amp;K"/>
      <sheetName val="NGUON TPA"/>
      <sheetName val="DEBIT TAN PHUOC AN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発注明細"/>
      <sheetName val="生地・色リスト"/>
      <sheetName val="生地集（安井様）"/>
      <sheetName val="生地集（ナカヒロ様）"/>
      <sheetName val="生地集（旭化成様）"/>
      <sheetName val="生地集（ユニチカ様）"/>
      <sheetName val="清原"/>
      <sheetName val="島田商事様"/>
      <sheetName val="ｹｰｽﾏｰｸ"/>
    </sheetNames>
    <sheetDataSet>
      <sheetData sheetId="0" refreshError="1"/>
      <sheetData sheetId="1">
        <row r="2">
          <cell r="A2" t="str">
            <v>OW185</v>
          </cell>
          <cell r="C2" t="str">
            <v>1 ﾌﾗﾜｰﾚｰｽ柄ﾋﾟﾝｸ</v>
          </cell>
        </row>
        <row r="3">
          <cell r="A3" t="str">
            <v>OW1665</v>
          </cell>
          <cell r="C3" t="str">
            <v>ﾋﾟﾝｸﾎﾞｰﾀﾞｰ</v>
          </cell>
        </row>
        <row r="4">
          <cell r="A4" t="str">
            <v>P2540</v>
          </cell>
          <cell r="C4" t="str">
            <v>APRｱﾌﾟﾘｺｯﾄ</v>
          </cell>
        </row>
        <row r="5">
          <cell r="A5" t="str">
            <v>P2233</v>
          </cell>
          <cell r="C5" t="str">
            <v>ABLｱﾈﾓﾈﾌﾞﾙｰ</v>
          </cell>
        </row>
        <row r="6">
          <cell r="A6" t="str">
            <v>MT2233</v>
          </cell>
          <cell r="C6" t="str">
            <v>BPKﾍﾞｺﾞﾆｱﾋﾟﾝｸ</v>
          </cell>
        </row>
        <row r="7">
          <cell r="A7" t="str">
            <v>MT2540</v>
          </cell>
          <cell r="C7" t="str">
            <v>BCSXｻｯｸｽ</v>
          </cell>
        </row>
        <row r="8">
          <cell r="A8" t="str">
            <v>MT2588N</v>
          </cell>
          <cell r="C8" t="str">
            <v>BDSGRｸﾞﾚｰｽﾄﾗｲﾌﾟ</v>
          </cell>
        </row>
        <row r="9">
          <cell r="A9" t="str">
            <v>LF4455</v>
          </cell>
          <cell r="C9" t="str">
            <v>CPﾁｪﾘｰﾋﾟﾝｸ</v>
          </cell>
        </row>
        <row r="10">
          <cell r="A10" t="str">
            <v>HU959</v>
          </cell>
          <cell r="C10" t="str">
            <v>DAPR濃ｱﾌﾟﾘｺｯﾄ</v>
          </cell>
        </row>
        <row r="11">
          <cell r="A11" t="str">
            <v>HU969</v>
          </cell>
          <cell r="C11" t="str">
            <v>DLA濃ﾗﾍﾞﾝﾀﾞｰ</v>
          </cell>
        </row>
        <row r="12">
          <cell r="A12" t="str">
            <v>HU968</v>
          </cell>
          <cell r="C12" t="str">
            <v>DNV濃紺</v>
          </cell>
        </row>
        <row r="13">
          <cell r="A13" t="str">
            <v>UK2110</v>
          </cell>
          <cell r="C13" t="str">
            <v>GGｸﾞﾚｰ</v>
          </cell>
        </row>
        <row r="14">
          <cell r="A14" t="str">
            <v>UTN177</v>
          </cell>
          <cell r="C14" t="str">
            <v>GREｸﾞﾘｰﾝ</v>
          </cell>
        </row>
        <row r="15">
          <cell r="A15">
            <v>22850</v>
          </cell>
          <cell r="C15" t="str">
            <v>GRｸﾞﾚｰ</v>
          </cell>
        </row>
        <row r="16">
          <cell r="A16" t="str">
            <v>BG3800</v>
          </cell>
          <cell r="C16" t="str">
            <v>KONﾈｲﾋﾞｰ</v>
          </cell>
        </row>
        <row r="17">
          <cell r="A17" t="str">
            <v>T4510R</v>
          </cell>
          <cell r="C17" t="str">
            <v>KW白</v>
          </cell>
        </row>
        <row r="18">
          <cell r="A18" t="str">
            <v>ASK23206</v>
          </cell>
          <cell r="C18" t="str">
            <v>LAﾗﾍﾞﾝﾀﾞｰ</v>
          </cell>
        </row>
        <row r="19">
          <cell r="C19" t="str">
            <v>LPKﾗｲﾗｯｸﾋﾟﾝｸ</v>
          </cell>
        </row>
        <row r="20">
          <cell r="C20" t="str">
            <v>MBLﾐﾃﾞｨｱﾑﾌﾞﾙｰ</v>
          </cell>
        </row>
        <row r="21">
          <cell r="C21" t="str">
            <v>MTﾐﾝﾄ</v>
          </cell>
        </row>
        <row r="22">
          <cell r="C22" t="str">
            <v>NV紺</v>
          </cell>
        </row>
        <row r="23">
          <cell r="C23" t="str">
            <v>NV2ﾈｲﾋﾞｰ</v>
          </cell>
        </row>
        <row r="24">
          <cell r="C24" t="str">
            <v>OBLｵｰｼｬﾝﾌﾞﾙｰ</v>
          </cell>
        </row>
        <row r="25">
          <cell r="C25" t="str">
            <v>OWｵﾌ白</v>
          </cell>
        </row>
        <row r="26">
          <cell r="C26" t="str">
            <v>PC4/NV紺千鳥</v>
          </cell>
        </row>
        <row r="27">
          <cell r="C27" t="str">
            <v>BCPKﾋﾟﾝｸ</v>
          </cell>
        </row>
        <row r="28">
          <cell r="C28" t="str">
            <v>PGﾍﾟﾊﾟｰﾐﾝﾄｸﾞﾘｰﾝ</v>
          </cell>
        </row>
        <row r="29">
          <cell r="C29" t="str">
            <v>PP1ﾌﾟﾘﾃｨﾋﾟﾝｸ</v>
          </cell>
        </row>
        <row r="30">
          <cell r="C30" t="str">
            <v>PINK ﾋﾟﾝｸ</v>
          </cell>
        </row>
        <row r="31">
          <cell r="C31" t="str">
            <v>SAXｻｯｸｽ</v>
          </cell>
        </row>
        <row r="32">
          <cell r="C32" t="str">
            <v>SGRｸﾞﾚｰ</v>
          </cell>
        </row>
        <row r="33">
          <cell r="C33" t="str">
            <v>SRｾﾝｼﾃｨﾌﾞﾛｰｽﾞ</v>
          </cell>
        </row>
        <row r="34">
          <cell r="C34" t="str">
            <v>SBLｽｶｲﾌﾞﾙｰ</v>
          </cell>
        </row>
        <row r="35">
          <cell r="C35" t="str">
            <v>SPﾋﾟｰﾁﾋﾟﾝｸ</v>
          </cell>
        </row>
        <row r="36">
          <cell r="C36" t="str">
            <v>TBLﾀｰｺｲｽﾞ</v>
          </cell>
        </row>
        <row r="37">
          <cell r="C37" t="str">
            <v>VPK濃ﾋﾟﾝｸ</v>
          </cell>
        </row>
        <row r="38">
          <cell r="C38" t="str">
            <v>VPKﾛｰｽﾞ</v>
          </cell>
        </row>
        <row r="39">
          <cell r="C39" t="str">
            <v>VBLﾋﾞｵﾗﾌﾞﾙｰ</v>
          </cell>
        </row>
        <row r="40">
          <cell r="C40" t="str">
            <v>WINﾜｲﾝ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P84"/>
  <sheetViews>
    <sheetView zoomScaleNormal="100" workbookViewId="0">
      <pane ySplit="5" topLeftCell="A67" activePane="bottomLeft" state="frozen"/>
      <selection activeCell="F1" sqref="F1"/>
      <selection pane="bottomLeft" activeCell="M3" sqref="M3"/>
    </sheetView>
  </sheetViews>
  <sheetFormatPr defaultColWidth="9.140625" defaultRowHeight="18"/>
  <cols>
    <col min="1" max="1" width="31.28515625" style="1" customWidth="1"/>
    <col min="2" max="2" width="21" style="1" customWidth="1"/>
    <col min="3" max="3" width="22.140625" style="1" customWidth="1"/>
    <col min="4" max="4" width="20.28515625" style="1" customWidth="1"/>
    <col min="5" max="5" width="17" style="1" customWidth="1"/>
    <col min="6" max="6" width="13.5703125" style="1" customWidth="1"/>
    <col min="7" max="7" width="15.28515625" style="5" customWidth="1"/>
    <col min="8" max="8" width="15.28515625" style="38" customWidth="1"/>
    <col min="9" max="10" width="15.28515625" style="214" customWidth="1"/>
    <col min="11" max="11" width="13" style="466" customWidth="1"/>
    <col min="12" max="12" width="17.28515625" style="466" customWidth="1"/>
    <col min="13" max="13" width="15.7109375" style="466" customWidth="1"/>
    <col min="14" max="16" width="3" style="466" customWidth="1"/>
    <col min="17" max="164" width="3" style="1" customWidth="1"/>
    <col min="165" max="16384" width="9.140625" style="1"/>
  </cols>
  <sheetData>
    <row r="1" spans="1:16" ht="66.2" customHeight="1">
      <c r="A1" s="40"/>
      <c r="B1" s="236" t="s">
        <v>0</v>
      </c>
      <c r="C1" s="236"/>
      <c r="D1" s="236"/>
      <c r="E1" s="236"/>
      <c r="F1" s="236"/>
      <c r="G1" s="236"/>
      <c r="H1" s="170"/>
      <c r="I1" s="203"/>
      <c r="J1" s="203"/>
      <c r="K1" s="465"/>
    </row>
    <row r="2" spans="1:16" ht="63" customHeight="1">
      <c r="A2" s="237" t="s">
        <v>178</v>
      </c>
      <c r="B2" s="238"/>
      <c r="C2" s="238"/>
      <c r="D2" s="238"/>
      <c r="E2" s="238"/>
      <c r="F2" s="238"/>
      <c r="G2" s="239"/>
      <c r="H2" s="170"/>
      <c r="I2" s="203"/>
      <c r="J2" s="203"/>
    </row>
    <row r="3" spans="1:16" ht="36">
      <c r="A3" s="171">
        <v>1</v>
      </c>
      <c r="B3" s="171">
        <v>2</v>
      </c>
      <c r="C3" s="172">
        <v>3</v>
      </c>
      <c r="D3" s="172">
        <v>4</v>
      </c>
      <c r="E3" s="172">
        <v>5</v>
      </c>
      <c r="F3" s="172">
        <v>6</v>
      </c>
      <c r="G3" s="172">
        <v>7</v>
      </c>
      <c r="H3" s="173">
        <v>8</v>
      </c>
      <c r="I3" s="204" t="s">
        <v>208</v>
      </c>
      <c r="J3" s="474" t="s">
        <v>211</v>
      </c>
      <c r="K3" s="484" t="s">
        <v>285</v>
      </c>
      <c r="L3" s="484" t="s">
        <v>280</v>
      </c>
      <c r="M3" s="467"/>
    </row>
    <row r="4" spans="1:16" ht="18.75" thickBot="1">
      <c r="A4" s="174" t="s">
        <v>5</v>
      </c>
      <c r="B4" s="175" t="s">
        <v>6</v>
      </c>
      <c r="C4" s="176" t="s">
        <v>8</v>
      </c>
      <c r="D4" s="176" t="s">
        <v>9</v>
      </c>
      <c r="E4" s="177" t="s">
        <v>10</v>
      </c>
      <c r="F4" s="178" t="s">
        <v>11</v>
      </c>
      <c r="G4" s="179" t="s">
        <v>12</v>
      </c>
      <c r="H4" s="180" t="s">
        <v>180</v>
      </c>
      <c r="I4" s="205" t="s">
        <v>209</v>
      </c>
      <c r="J4" s="475" t="s">
        <v>212</v>
      </c>
      <c r="K4" s="484"/>
      <c r="L4" s="484"/>
      <c r="M4" s="467"/>
    </row>
    <row r="5" spans="1:16" ht="18.75" thickBot="1">
      <c r="A5" s="174" t="s">
        <v>31</v>
      </c>
      <c r="B5" s="181" t="s">
        <v>32</v>
      </c>
      <c r="C5" s="182" t="s">
        <v>35</v>
      </c>
      <c r="D5" s="182" t="s">
        <v>36</v>
      </c>
      <c r="E5" s="183" t="s">
        <v>37</v>
      </c>
      <c r="F5" s="184" t="s">
        <v>38</v>
      </c>
      <c r="G5" s="185" t="s">
        <v>12</v>
      </c>
      <c r="H5" s="186" t="s">
        <v>181</v>
      </c>
      <c r="I5" s="206" t="s">
        <v>210</v>
      </c>
      <c r="J5" s="476" t="s">
        <v>210</v>
      </c>
      <c r="K5" s="484"/>
      <c r="L5" s="484"/>
      <c r="M5" s="467"/>
    </row>
    <row r="6" spans="1:16">
      <c r="A6" s="187" t="s">
        <v>59</v>
      </c>
      <c r="B6" s="188" t="s">
        <v>60</v>
      </c>
      <c r="C6" s="189" t="s">
        <v>63</v>
      </c>
      <c r="D6" s="189" t="s">
        <v>64</v>
      </c>
      <c r="E6" s="190" t="s">
        <v>65</v>
      </c>
      <c r="F6" s="191" t="s">
        <v>66</v>
      </c>
      <c r="G6" s="192" t="s">
        <v>67</v>
      </c>
      <c r="H6" s="192" t="s">
        <v>182</v>
      </c>
      <c r="I6" s="207" t="s">
        <v>182</v>
      </c>
      <c r="J6" s="477" t="s">
        <v>182</v>
      </c>
      <c r="K6" s="484"/>
      <c r="L6" s="484"/>
      <c r="M6" s="467"/>
    </row>
    <row r="7" spans="1:16" s="473" customFormat="1">
      <c r="A7" s="468" t="s">
        <v>91</v>
      </c>
      <c r="B7" s="468" t="s">
        <v>159</v>
      </c>
      <c r="C7" s="468" t="s">
        <v>160</v>
      </c>
      <c r="D7" s="468" t="s">
        <v>163</v>
      </c>
      <c r="E7" s="468" t="s">
        <v>93</v>
      </c>
      <c r="F7" s="469" t="s">
        <v>161</v>
      </c>
      <c r="G7" s="469"/>
      <c r="H7" s="469" t="s">
        <v>277</v>
      </c>
      <c r="I7" s="470"/>
      <c r="J7" s="478"/>
      <c r="K7" s="485">
        <v>1</v>
      </c>
      <c r="L7" s="485">
        <v>650000</v>
      </c>
      <c r="M7" s="471">
        <v>100</v>
      </c>
      <c r="N7" s="472"/>
      <c r="O7" s="472"/>
      <c r="P7" s="472"/>
    </row>
    <row r="8" spans="1:16">
      <c r="A8" s="193" t="s">
        <v>91</v>
      </c>
      <c r="B8" s="193" t="s">
        <v>159</v>
      </c>
      <c r="C8" s="194" t="s">
        <v>171</v>
      </c>
      <c r="D8" s="194" t="s">
        <v>163</v>
      </c>
      <c r="E8" s="194" t="s">
        <v>93</v>
      </c>
      <c r="F8" s="195" t="s">
        <v>161</v>
      </c>
      <c r="G8" s="196"/>
      <c r="H8" s="195" t="s">
        <v>292</v>
      </c>
      <c r="I8" s="208"/>
      <c r="J8" s="479"/>
      <c r="K8" s="484"/>
      <c r="L8" s="484"/>
      <c r="M8" s="467"/>
    </row>
    <row r="9" spans="1:16">
      <c r="A9" s="193" t="s">
        <v>91</v>
      </c>
      <c r="B9" s="193" t="s">
        <v>159</v>
      </c>
      <c r="C9" s="194" t="s">
        <v>165</v>
      </c>
      <c r="D9" s="194" t="s">
        <v>163</v>
      </c>
      <c r="E9" s="194" t="s">
        <v>93</v>
      </c>
      <c r="F9" s="195" t="s">
        <v>161</v>
      </c>
      <c r="G9" s="196"/>
      <c r="H9" s="195"/>
      <c r="I9" s="208"/>
      <c r="J9" s="479"/>
      <c r="K9" s="484"/>
      <c r="L9" s="484"/>
      <c r="M9" s="467"/>
    </row>
    <row r="10" spans="1:16">
      <c r="A10" s="193" t="s">
        <v>91</v>
      </c>
      <c r="B10" s="193" t="s">
        <v>159</v>
      </c>
      <c r="C10" s="194" t="s">
        <v>167</v>
      </c>
      <c r="D10" s="194" t="s">
        <v>163</v>
      </c>
      <c r="E10" s="194" t="s">
        <v>93</v>
      </c>
      <c r="F10" s="195" t="s">
        <v>161</v>
      </c>
      <c r="G10" s="196"/>
      <c r="H10" s="195"/>
      <c r="I10" s="208"/>
      <c r="J10" s="479"/>
      <c r="K10" s="484"/>
      <c r="L10" s="484"/>
      <c r="M10" s="467"/>
    </row>
    <row r="11" spans="1:16">
      <c r="A11" s="193" t="s">
        <v>91</v>
      </c>
      <c r="B11" s="193" t="s">
        <v>159</v>
      </c>
      <c r="C11" s="194" t="s">
        <v>215</v>
      </c>
      <c r="D11" s="194" t="s">
        <v>163</v>
      </c>
      <c r="E11" s="194" t="s">
        <v>93</v>
      </c>
      <c r="F11" s="195" t="s">
        <v>161</v>
      </c>
      <c r="G11" s="196"/>
      <c r="H11" s="196"/>
      <c r="I11" s="209"/>
      <c r="J11" s="480"/>
      <c r="K11" s="484"/>
      <c r="L11" s="484"/>
      <c r="M11" s="467"/>
    </row>
    <row r="12" spans="1:16">
      <c r="A12" s="193" t="s">
        <v>91</v>
      </c>
      <c r="B12" s="193" t="s">
        <v>159</v>
      </c>
      <c r="C12" s="194" t="s">
        <v>216</v>
      </c>
      <c r="D12" s="194" t="s">
        <v>163</v>
      </c>
      <c r="E12" s="194" t="s">
        <v>93</v>
      </c>
      <c r="F12" s="195" t="s">
        <v>161</v>
      </c>
      <c r="G12" s="196"/>
      <c r="H12" s="196"/>
      <c r="I12" s="209"/>
      <c r="J12" s="480"/>
      <c r="K12" s="484"/>
      <c r="L12" s="484"/>
      <c r="M12" s="467"/>
    </row>
    <row r="13" spans="1:16">
      <c r="A13" s="193" t="s">
        <v>91</v>
      </c>
      <c r="B13" s="193" t="s">
        <v>159</v>
      </c>
      <c r="C13" s="194" t="s">
        <v>168</v>
      </c>
      <c r="D13" s="194" t="s">
        <v>163</v>
      </c>
      <c r="E13" s="194" t="s">
        <v>93</v>
      </c>
      <c r="F13" s="195" t="s">
        <v>161</v>
      </c>
      <c r="G13" s="196"/>
      <c r="H13" s="196"/>
      <c r="I13" s="209"/>
      <c r="J13" s="480"/>
      <c r="K13" s="484"/>
      <c r="L13" s="484"/>
      <c r="M13" s="467"/>
    </row>
    <row r="14" spans="1:16">
      <c r="A14" s="193" t="s">
        <v>91</v>
      </c>
      <c r="B14" s="193" t="s">
        <v>159</v>
      </c>
      <c r="C14" s="194" t="s">
        <v>170</v>
      </c>
      <c r="D14" s="194" t="s">
        <v>163</v>
      </c>
      <c r="E14" s="194" t="s">
        <v>93</v>
      </c>
      <c r="F14" s="195" t="s">
        <v>161</v>
      </c>
      <c r="G14" s="195"/>
      <c r="H14" s="195"/>
      <c r="I14" s="208"/>
      <c r="J14" s="479"/>
      <c r="K14" s="484"/>
      <c r="L14" s="484"/>
      <c r="M14" s="467"/>
    </row>
    <row r="15" spans="1:16" s="473" customFormat="1">
      <c r="A15" s="468" t="s">
        <v>91</v>
      </c>
      <c r="B15" s="468" t="s">
        <v>287</v>
      </c>
      <c r="C15" s="468" t="s">
        <v>286</v>
      </c>
      <c r="D15" s="468" t="s">
        <v>288</v>
      </c>
      <c r="E15" s="468" t="s">
        <v>289</v>
      </c>
      <c r="F15" s="469" t="s">
        <v>290</v>
      </c>
      <c r="G15" s="469"/>
      <c r="H15" s="469" t="s">
        <v>291</v>
      </c>
      <c r="I15" s="470"/>
      <c r="J15" s="478"/>
      <c r="K15" s="485">
        <v>1.5</v>
      </c>
      <c r="L15" s="485">
        <v>800000</v>
      </c>
      <c r="M15" s="471"/>
      <c r="N15" s="472"/>
      <c r="O15" s="472"/>
      <c r="P15" s="472"/>
    </row>
    <row r="16" spans="1:16">
      <c r="A16" s="193"/>
      <c r="B16" s="193"/>
      <c r="C16" s="194"/>
      <c r="D16" s="194"/>
      <c r="E16" s="194"/>
      <c r="F16" s="195"/>
      <c r="G16" s="196"/>
      <c r="H16" s="196"/>
      <c r="I16" s="209"/>
      <c r="J16" s="480"/>
      <c r="K16" s="484"/>
      <c r="L16" s="484"/>
      <c r="M16" s="467"/>
    </row>
    <row r="17" spans="1:13">
      <c r="A17" s="193"/>
      <c r="B17" s="193"/>
      <c r="C17" s="194"/>
      <c r="D17" s="194"/>
      <c r="E17" s="194"/>
      <c r="F17" s="195"/>
      <c r="G17" s="196"/>
      <c r="H17" s="196"/>
      <c r="I17" s="209"/>
      <c r="J17" s="480"/>
      <c r="K17" s="484"/>
      <c r="L17" s="484"/>
      <c r="M17" s="467"/>
    </row>
    <row r="18" spans="1:13">
      <c r="A18" s="193"/>
      <c r="B18" s="193"/>
      <c r="C18" s="194"/>
      <c r="D18" s="194"/>
      <c r="E18" s="194"/>
      <c r="F18" s="195"/>
      <c r="G18" s="195"/>
      <c r="H18" s="195"/>
      <c r="I18" s="208"/>
      <c r="J18" s="479"/>
      <c r="K18" s="484"/>
      <c r="L18" s="484"/>
      <c r="M18" s="467"/>
    </row>
    <row r="19" spans="1:13">
      <c r="A19" s="193"/>
      <c r="B19" s="193"/>
      <c r="C19" s="194"/>
      <c r="D19" s="194"/>
      <c r="E19" s="194"/>
      <c r="F19" s="195"/>
      <c r="G19" s="196"/>
      <c r="H19" s="196"/>
      <c r="I19" s="209"/>
      <c r="J19" s="480"/>
      <c r="K19" s="484"/>
      <c r="L19" s="484"/>
      <c r="M19" s="467"/>
    </row>
    <row r="20" spans="1:13">
      <c r="A20" s="193"/>
      <c r="B20" s="193"/>
      <c r="C20" s="194"/>
      <c r="D20" s="194"/>
      <c r="E20" s="194"/>
      <c r="F20" s="195"/>
      <c r="G20" s="196"/>
      <c r="H20" s="196"/>
      <c r="I20" s="209"/>
      <c r="J20" s="480"/>
      <c r="K20" s="484"/>
      <c r="L20" s="484"/>
      <c r="M20" s="467"/>
    </row>
    <row r="21" spans="1:13">
      <c r="A21" s="193"/>
      <c r="B21" s="193"/>
      <c r="C21" s="194"/>
      <c r="D21" s="194"/>
      <c r="E21" s="194"/>
      <c r="F21" s="195"/>
      <c r="G21" s="196"/>
      <c r="H21" s="196"/>
      <c r="I21" s="209"/>
      <c r="J21" s="480"/>
      <c r="K21" s="484"/>
      <c r="L21" s="484"/>
      <c r="M21" s="467"/>
    </row>
    <row r="22" spans="1:13">
      <c r="A22" s="193"/>
      <c r="B22" s="193"/>
      <c r="C22" s="194"/>
      <c r="D22" s="194"/>
      <c r="E22" s="194"/>
      <c r="F22" s="195"/>
      <c r="G22" s="196"/>
      <c r="H22" s="196"/>
      <c r="I22" s="209"/>
      <c r="J22" s="480"/>
      <c r="K22" s="484"/>
      <c r="L22" s="484"/>
      <c r="M22" s="467"/>
    </row>
    <row r="23" spans="1:13">
      <c r="A23" s="193"/>
      <c r="B23" s="193"/>
      <c r="C23" s="194"/>
      <c r="D23" s="194"/>
      <c r="E23" s="194"/>
      <c r="F23" s="195"/>
      <c r="G23" s="196"/>
      <c r="H23" s="196"/>
      <c r="I23" s="209"/>
      <c r="J23" s="480"/>
      <c r="K23" s="484"/>
      <c r="L23" s="484"/>
      <c r="M23" s="467"/>
    </row>
    <row r="24" spans="1:13">
      <c r="A24" s="193"/>
      <c r="B24" s="193"/>
      <c r="C24" s="194"/>
      <c r="D24" s="194"/>
      <c r="E24" s="194"/>
      <c r="F24" s="195"/>
      <c r="G24" s="195"/>
      <c r="H24" s="195"/>
      <c r="I24" s="208"/>
      <c r="J24" s="479"/>
      <c r="K24" s="484"/>
      <c r="L24" s="484"/>
      <c r="M24" s="467"/>
    </row>
    <row r="25" spans="1:13">
      <c r="A25" s="193"/>
      <c r="B25" s="193"/>
      <c r="C25" s="194"/>
      <c r="D25" s="194"/>
      <c r="E25" s="194"/>
      <c r="F25" s="196"/>
      <c r="G25" s="196"/>
      <c r="H25" s="196"/>
      <c r="I25" s="209"/>
      <c r="J25" s="480"/>
      <c r="K25" s="484"/>
      <c r="L25" s="484"/>
      <c r="M25" s="467"/>
    </row>
    <row r="26" spans="1:13">
      <c r="A26" s="193"/>
      <c r="B26" s="193"/>
      <c r="C26" s="194"/>
      <c r="D26" s="194"/>
      <c r="E26" s="194"/>
      <c r="F26" s="196"/>
      <c r="G26" s="196"/>
      <c r="H26" s="196"/>
      <c r="I26" s="209"/>
      <c r="J26" s="480"/>
      <c r="K26" s="486"/>
      <c r="L26" s="486"/>
    </row>
    <row r="27" spans="1:13">
      <c r="A27" s="193"/>
      <c r="B27" s="193"/>
      <c r="C27" s="194"/>
      <c r="D27" s="194"/>
      <c r="E27" s="194"/>
      <c r="F27" s="196"/>
      <c r="G27" s="196"/>
      <c r="H27" s="196"/>
      <c r="I27" s="209"/>
      <c r="J27" s="480"/>
      <c r="K27" s="486"/>
      <c r="L27" s="486"/>
    </row>
    <row r="28" spans="1:13">
      <c r="A28" s="193"/>
      <c r="B28" s="193"/>
      <c r="C28" s="194"/>
      <c r="D28" s="194"/>
      <c r="E28" s="194"/>
      <c r="F28" s="196"/>
      <c r="G28" s="196"/>
      <c r="H28" s="196"/>
      <c r="I28" s="209"/>
      <c r="J28" s="480"/>
      <c r="K28" s="486"/>
      <c r="L28" s="486"/>
    </row>
    <row r="29" spans="1:13">
      <c r="A29" s="193"/>
      <c r="B29" s="193"/>
      <c r="C29" s="194"/>
      <c r="D29" s="194"/>
      <c r="E29" s="194"/>
      <c r="F29" s="196"/>
      <c r="G29" s="196"/>
      <c r="H29" s="196"/>
      <c r="I29" s="209"/>
      <c r="J29" s="480"/>
      <c r="K29" s="486"/>
      <c r="L29" s="486"/>
    </row>
    <row r="30" spans="1:13">
      <c r="A30" s="193"/>
      <c r="B30" s="193"/>
      <c r="C30" s="194"/>
      <c r="D30" s="194"/>
      <c r="E30" s="194"/>
      <c r="F30" s="196"/>
      <c r="G30" s="196"/>
      <c r="H30" s="196"/>
      <c r="I30" s="209"/>
      <c r="J30" s="480"/>
      <c r="K30" s="486"/>
      <c r="L30" s="486"/>
    </row>
    <row r="31" spans="1:13">
      <c r="A31" s="193"/>
      <c r="B31" s="193"/>
      <c r="C31" s="194"/>
      <c r="D31" s="194"/>
      <c r="E31" s="194"/>
      <c r="F31" s="196"/>
      <c r="G31" s="196"/>
      <c r="H31" s="196"/>
      <c r="I31" s="209"/>
      <c r="J31" s="480"/>
      <c r="K31" s="486"/>
      <c r="L31" s="486"/>
    </row>
    <row r="32" spans="1:13">
      <c r="A32" s="193"/>
      <c r="B32" s="193"/>
      <c r="C32" s="194"/>
      <c r="D32" s="194"/>
      <c r="E32" s="194"/>
      <c r="F32" s="196"/>
      <c r="G32" s="196"/>
      <c r="H32" s="196"/>
      <c r="I32" s="209"/>
      <c r="J32" s="480"/>
      <c r="K32" s="486"/>
      <c r="L32" s="486"/>
    </row>
    <row r="33" spans="1:12">
      <c r="A33" s="193"/>
      <c r="B33" s="193"/>
      <c r="C33" s="194"/>
      <c r="D33" s="194"/>
      <c r="E33" s="194"/>
      <c r="F33" s="196"/>
      <c r="G33" s="196"/>
      <c r="H33" s="196"/>
      <c r="I33" s="209"/>
      <c r="J33" s="480"/>
      <c r="K33" s="486"/>
      <c r="L33" s="486"/>
    </row>
    <row r="34" spans="1:12">
      <c r="A34" s="193"/>
      <c r="B34" s="193"/>
      <c r="C34" s="194"/>
      <c r="D34" s="194"/>
      <c r="E34" s="194"/>
      <c r="F34" s="196"/>
      <c r="G34" s="196"/>
      <c r="H34" s="196"/>
      <c r="I34" s="209"/>
      <c r="J34" s="480"/>
      <c r="K34" s="486"/>
      <c r="L34" s="486"/>
    </row>
    <row r="35" spans="1:12">
      <c r="A35" s="193"/>
      <c r="B35" s="193"/>
      <c r="C35" s="194"/>
      <c r="D35" s="194"/>
      <c r="E35" s="194"/>
      <c r="F35" s="196"/>
      <c r="G35" s="196"/>
      <c r="H35" s="196"/>
      <c r="I35" s="209"/>
      <c r="J35" s="480"/>
      <c r="K35" s="486"/>
      <c r="L35" s="486"/>
    </row>
    <row r="36" spans="1:12">
      <c r="A36" s="193"/>
      <c r="B36" s="193"/>
      <c r="C36" s="194"/>
      <c r="D36" s="194"/>
      <c r="E36" s="194"/>
      <c r="F36" s="196"/>
      <c r="G36" s="196"/>
      <c r="H36" s="196"/>
      <c r="I36" s="209"/>
      <c r="J36" s="480"/>
      <c r="K36" s="486"/>
      <c r="L36" s="486"/>
    </row>
    <row r="37" spans="1:12">
      <c r="A37" s="193"/>
      <c r="B37" s="193"/>
      <c r="C37" s="194"/>
      <c r="D37" s="194"/>
      <c r="E37" s="194"/>
      <c r="F37" s="195"/>
      <c r="G37" s="196"/>
      <c r="H37" s="196"/>
      <c r="I37" s="209"/>
      <c r="J37" s="480"/>
      <c r="K37" s="486"/>
      <c r="L37" s="486"/>
    </row>
    <row r="38" spans="1:12">
      <c r="A38" s="193"/>
      <c r="B38" s="193"/>
      <c r="C38" s="194"/>
      <c r="D38" s="194"/>
      <c r="E38" s="194"/>
      <c r="F38" s="195"/>
      <c r="G38" s="196"/>
      <c r="H38" s="196"/>
      <c r="I38" s="209"/>
      <c r="J38" s="480"/>
      <c r="K38" s="486"/>
      <c r="L38" s="486"/>
    </row>
    <row r="39" spans="1:12">
      <c r="A39" s="193"/>
      <c r="B39" s="193"/>
      <c r="C39" s="194"/>
      <c r="D39" s="194"/>
      <c r="E39" s="194"/>
      <c r="F39" s="195"/>
      <c r="G39" s="196"/>
      <c r="H39" s="196"/>
      <c r="I39" s="209"/>
      <c r="J39" s="480"/>
      <c r="K39" s="486"/>
      <c r="L39" s="486"/>
    </row>
    <row r="40" spans="1:12">
      <c r="A40" s="193"/>
      <c r="B40" s="193"/>
      <c r="C40" s="194"/>
      <c r="D40" s="194"/>
      <c r="E40" s="194"/>
      <c r="F40" s="195"/>
      <c r="G40" s="195"/>
      <c r="H40" s="195"/>
      <c r="I40" s="208"/>
      <c r="J40" s="479"/>
      <c r="K40" s="486"/>
      <c r="L40" s="486"/>
    </row>
    <row r="41" spans="1:12">
      <c r="A41" s="193"/>
      <c r="B41" s="193"/>
      <c r="C41" s="194"/>
      <c r="D41" s="194"/>
      <c r="E41" s="194"/>
      <c r="F41" s="195"/>
      <c r="G41" s="196"/>
      <c r="H41" s="196"/>
      <c r="I41" s="209"/>
      <c r="J41" s="480"/>
      <c r="K41" s="486"/>
      <c r="L41" s="486"/>
    </row>
    <row r="42" spans="1:12">
      <c r="A42" s="193"/>
      <c r="B42" s="193"/>
      <c r="C42" s="194"/>
      <c r="D42" s="194"/>
      <c r="E42" s="194"/>
      <c r="F42" s="195"/>
      <c r="G42" s="196"/>
      <c r="H42" s="196"/>
      <c r="I42" s="209"/>
      <c r="J42" s="480"/>
      <c r="K42" s="486"/>
      <c r="L42" s="486"/>
    </row>
    <row r="43" spans="1:12">
      <c r="A43" s="193"/>
      <c r="B43" s="193"/>
      <c r="C43" s="194"/>
      <c r="D43" s="194"/>
      <c r="E43" s="194"/>
      <c r="F43" s="195"/>
      <c r="G43" s="196"/>
      <c r="H43" s="196"/>
      <c r="I43" s="209"/>
      <c r="J43" s="480"/>
      <c r="K43" s="486"/>
      <c r="L43" s="486"/>
    </row>
    <row r="44" spans="1:12">
      <c r="A44" s="193"/>
      <c r="B44" s="193"/>
      <c r="C44" s="194"/>
      <c r="D44" s="194"/>
      <c r="E44" s="194"/>
      <c r="F44" s="195"/>
      <c r="G44" s="196"/>
      <c r="H44" s="196"/>
      <c r="I44" s="209"/>
      <c r="J44" s="480"/>
      <c r="K44" s="486"/>
      <c r="L44" s="486"/>
    </row>
    <row r="45" spans="1:12">
      <c r="A45" s="193"/>
      <c r="B45" s="193"/>
      <c r="C45" s="194"/>
      <c r="D45" s="194"/>
      <c r="E45" s="194"/>
      <c r="F45" s="195"/>
      <c r="G45" s="196"/>
      <c r="H45" s="196"/>
      <c r="I45" s="209"/>
      <c r="J45" s="480"/>
      <c r="K45" s="486"/>
      <c r="L45" s="486"/>
    </row>
    <row r="46" spans="1:12">
      <c r="A46" s="193"/>
      <c r="B46" s="193"/>
      <c r="C46" s="194"/>
      <c r="D46" s="194"/>
      <c r="E46" s="194"/>
      <c r="F46" s="195"/>
      <c r="G46" s="195"/>
      <c r="H46" s="195"/>
      <c r="I46" s="208"/>
      <c r="J46" s="479"/>
      <c r="K46" s="486"/>
      <c r="L46" s="486"/>
    </row>
    <row r="47" spans="1:12">
      <c r="A47" s="193"/>
      <c r="B47" s="193"/>
      <c r="C47" s="194"/>
      <c r="D47" s="194"/>
      <c r="E47" s="194"/>
      <c r="F47" s="195"/>
      <c r="G47" s="197"/>
      <c r="H47" s="198"/>
      <c r="I47" s="210"/>
      <c r="J47" s="481"/>
      <c r="K47" s="486"/>
      <c r="L47" s="486"/>
    </row>
    <row r="48" spans="1:12">
      <c r="A48" s="193"/>
      <c r="B48" s="193"/>
      <c r="C48" s="194"/>
      <c r="D48" s="194"/>
      <c r="E48" s="194"/>
      <c r="F48" s="195"/>
      <c r="G48" s="196"/>
      <c r="H48" s="196"/>
      <c r="I48" s="209"/>
      <c r="J48" s="480"/>
      <c r="K48" s="486"/>
      <c r="L48" s="486"/>
    </row>
    <row r="49" spans="1:12">
      <c r="A49" s="193"/>
      <c r="B49" s="193"/>
      <c r="C49" s="194"/>
      <c r="D49" s="194"/>
      <c r="E49" s="194"/>
      <c r="F49" s="195"/>
      <c r="G49" s="196"/>
      <c r="H49" s="196"/>
      <c r="I49" s="209"/>
      <c r="J49" s="480"/>
      <c r="K49" s="486"/>
      <c r="L49" s="486"/>
    </row>
    <row r="50" spans="1:12">
      <c r="A50" s="193"/>
      <c r="B50" s="193"/>
      <c r="C50" s="194"/>
      <c r="D50" s="194"/>
      <c r="E50" s="194"/>
      <c r="F50" s="195"/>
      <c r="G50" s="196"/>
      <c r="H50" s="196"/>
      <c r="I50" s="209"/>
      <c r="J50" s="480"/>
      <c r="K50" s="486"/>
      <c r="L50" s="486"/>
    </row>
    <row r="51" spans="1:12">
      <c r="A51" s="193"/>
      <c r="B51" s="193"/>
      <c r="C51" s="194"/>
      <c r="D51" s="194"/>
      <c r="E51" s="194"/>
      <c r="F51" s="195"/>
      <c r="G51" s="196"/>
      <c r="H51" s="196"/>
      <c r="I51" s="209"/>
      <c r="J51" s="480"/>
      <c r="K51" s="486"/>
      <c r="L51" s="486"/>
    </row>
    <row r="52" spans="1:12">
      <c r="A52" s="193"/>
      <c r="B52" s="193"/>
      <c r="C52" s="194"/>
      <c r="D52" s="194"/>
      <c r="E52" s="194"/>
      <c r="F52" s="195"/>
      <c r="G52" s="196"/>
      <c r="H52" s="196"/>
      <c r="I52" s="209"/>
      <c r="J52" s="480"/>
      <c r="K52" s="486"/>
      <c r="L52" s="486"/>
    </row>
    <row r="53" spans="1:12">
      <c r="A53" s="193"/>
      <c r="B53" s="193"/>
      <c r="C53" s="194"/>
      <c r="D53" s="194"/>
      <c r="E53" s="194"/>
      <c r="F53" s="196"/>
      <c r="G53" s="196"/>
      <c r="H53" s="196"/>
      <c r="I53" s="209"/>
      <c r="J53" s="480"/>
      <c r="K53" s="486"/>
      <c r="L53" s="486"/>
    </row>
    <row r="54" spans="1:12">
      <c r="A54" s="193"/>
      <c r="B54" s="193"/>
      <c r="C54" s="194"/>
      <c r="D54" s="194"/>
      <c r="E54" s="194"/>
      <c r="F54" s="196"/>
      <c r="G54" s="196"/>
      <c r="H54" s="196"/>
      <c r="I54" s="209"/>
      <c r="J54" s="480"/>
      <c r="K54" s="486"/>
      <c r="L54" s="486"/>
    </row>
    <row r="55" spans="1:12">
      <c r="A55" s="193"/>
      <c r="B55" s="193"/>
      <c r="C55" s="194"/>
      <c r="D55" s="194"/>
      <c r="E55" s="194"/>
      <c r="F55" s="196"/>
      <c r="G55" s="196"/>
      <c r="H55" s="196"/>
      <c r="I55" s="209"/>
      <c r="J55" s="480"/>
      <c r="K55" s="486"/>
      <c r="L55" s="486"/>
    </row>
    <row r="56" spans="1:12">
      <c r="A56" s="193"/>
      <c r="B56" s="193"/>
      <c r="C56" s="194"/>
      <c r="D56" s="194"/>
      <c r="E56" s="194"/>
      <c r="F56" s="196"/>
      <c r="G56" s="195"/>
      <c r="H56" s="195"/>
      <c r="I56" s="208"/>
      <c r="J56" s="479"/>
      <c r="K56" s="486"/>
      <c r="L56" s="486"/>
    </row>
    <row r="57" spans="1:12">
      <c r="A57" s="193"/>
      <c r="B57" s="193"/>
      <c r="C57" s="194"/>
      <c r="D57" s="194"/>
      <c r="E57" s="194"/>
      <c r="F57" s="196"/>
      <c r="G57" s="196"/>
      <c r="H57" s="196"/>
      <c r="I57" s="209"/>
      <c r="J57" s="480"/>
      <c r="K57" s="486"/>
      <c r="L57" s="486"/>
    </row>
    <row r="58" spans="1:12">
      <c r="A58" s="193"/>
      <c r="B58" s="193"/>
      <c r="C58" s="194"/>
      <c r="D58" s="194"/>
      <c r="E58" s="194"/>
      <c r="F58" s="196"/>
      <c r="G58" s="196"/>
      <c r="H58" s="196"/>
      <c r="I58" s="209"/>
      <c r="J58" s="480"/>
      <c r="K58" s="486"/>
      <c r="L58" s="486"/>
    </row>
    <row r="59" spans="1:12">
      <c r="A59" s="193"/>
      <c r="B59" s="193"/>
      <c r="C59" s="194"/>
      <c r="D59" s="194"/>
      <c r="E59" s="194"/>
      <c r="F59" s="196"/>
      <c r="G59" s="196"/>
      <c r="H59" s="196"/>
      <c r="I59" s="209"/>
      <c r="J59" s="480"/>
      <c r="K59" s="486"/>
      <c r="L59" s="486"/>
    </row>
    <row r="60" spans="1:12">
      <c r="A60" s="193"/>
      <c r="B60" s="193"/>
      <c r="C60" s="194"/>
      <c r="D60" s="194"/>
      <c r="E60" s="194"/>
      <c r="F60" s="196"/>
      <c r="G60" s="196"/>
      <c r="H60" s="196"/>
      <c r="I60" s="209"/>
      <c r="J60" s="480"/>
      <c r="K60" s="486"/>
      <c r="L60" s="486"/>
    </row>
    <row r="61" spans="1:12">
      <c r="A61" s="193"/>
      <c r="B61" s="193"/>
      <c r="C61" s="194"/>
      <c r="D61" s="194"/>
      <c r="E61" s="194"/>
      <c r="F61" s="196"/>
      <c r="G61" s="196"/>
      <c r="H61" s="196"/>
      <c r="I61" s="209"/>
      <c r="J61" s="480"/>
      <c r="K61" s="486"/>
      <c r="L61" s="486"/>
    </row>
    <row r="62" spans="1:12">
      <c r="A62" s="193"/>
      <c r="B62" s="193"/>
      <c r="C62" s="194"/>
      <c r="D62" s="194"/>
      <c r="E62" s="194"/>
      <c r="F62" s="196"/>
      <c r="G62" s="195"/>
      <c r="H62" s="195"/>
      <c r="I62" s="208"/>
      <c r="J62" s="479"/>
      <c r="K62" s="486"/>
      <c r="L62" s="486"/>
    </row>
    <row r="63" spans="1:12">
      <c r="A63" s="193"/>
      <c r="B63" s="193"/>
      <c r="C63" s="194"/>
      <c r="D63" s="194"/>
      <c r="E63" s="194"/>
      <c r="F63" s="196"/>
      <c r="G63" s="195"/>
      <c r="H63" s="195"/>
      <c r="I63" s="208"/>
      <c r="J63" s="479"/>
      <c r="K63" s="486"/>
      <c r="L63" s="486"/>
    </row>
    <row r="64" spans="1:12">
      <c r="A64" s="193"/>
      <c r="B64" s="193"/>
      <c r="C64" s="194"/>
      <c r="D64" s="194"/>
      <c r="E64" s="194"/>
      <c r="F64" s="196"/>
      <c r="G64" s="196"/>
      <c r="H64" s="196"/>
      <c r="I64" s="209"/>
      <c r="J64" s="480"/>
      <c r="K64" s="486"/>
      <c r="L64" s="486"/>
    </row>
    <row r="65" spans="1:12">
      <c r="A65" s="193"/>
      <c r="B65" s="193"/>
      <c r="C65" s="194"/>
      <c r="D65" s="194"/>
      <c r="E65" s="194"/>
      <c r="F65" s="196"/>
      <c r="G65" s="196"/>
      <c r="H65" s="196"/>
      <c r="I65" s="209"/>
      <c r="J65" s="480"/>
      <c r="K65" s="486"/>
      <c r="L65" s="486"/>
    </row>
    <row r="66" spans="1:12">
      <c r="A66" s="193"/>
      <c r="B66" s="193"/>
      <c r="C66" s="194"/>
      <c r="D66" s="194"/>
      <c r="E66" s="194"/>
      <c r="F66" s="196"/>
      <c r="G66" s="196"/>
      <c r="H66" s="196"/>
      <c r="I66" s="209"/>
      <c r="J66" s="480"/>
      <c r="K66" s="486"/>
      <c r="L66" s="486"/>
    </row>
    <row r="67" spans="1:12">
      <c r="A67" s="193"/>
      <c r="B67" s="193"/>
      <c r="C67" s="194"/>
      <c r="D67" s="194"/>
      <c r="E67" s="194"/>
      <c r="F67" s="196"/>
      <c r="G67" s="196"/>
      <c r="H67" s="196"/>
      <c r="I67" s="209"/>
      <c r="J67" s="480"/>
      <c r="K67" s="486"/>
      <c r="L67" s="486"/>
    </row>
    <row r="68" spans="1:12">
      <c r="A68" s="193"/>
      <c r="B68" s="193"/>
      <c r="C68" s="194"/>
      <c r="D68" s="194"/>
      <c r="E68" s="194"/>
      <c r="F68" s="196"/>
      <c r="G68" s="196"/>
      <c r="H68" s="196"/>
      <c r="I68" s="209"/>
      <c r="J68" s="480"/>
      <c r="K68" s="486"/>
      <c r="L68" s="486"/>
    </row>
    <row r="69" spans="1:12">
      <c r="A69" s="92"/>
      <c r="B69" s="92"/>
      <c r="C69" s="91"/>
      <c r="D69" s="91"/>
      <c r="E69" s="91"/>
      <c r="F69" s="93"/>
      <c r="G69" s="93"/>
      <c r="H69" s="93"/>
      <c r="I69" s="211"/>
      <c r="J69" s="482"/>
      <c r="K69" s="486"/>
      <c r="L69" s="486"/>
    </row>
    <row r="70" spans="1:12">
      <c r="A70" s="92"/>
      <c r="B70" s="92"/>
      <c r="C70" s="91"/>
      <c r="D70" s="91"/>
      <c r="E70" s="91"/>
      <c r="F70" s="93"/>
      <c r="G70" s="93"/>
      <c r="H70" s="93"/>
      <c r="I70" s="211"/>
      <c r="J70" s="482"/>
      <c r="K70" s="486"/>
      <c r="L70" s="486"/>
    </row>
    <row r="71" spans="1:12">
      <c r="A71" s="92"/>
      <c r="B71" s="92"/>
      <c r="C71" s="91"/>
      <c r="D71" s="91"/>
      <c r="E71" s="91"/>
      <c r="F71" s="93"/>
      <c r="G71" s="93"/>
      <c r="H71" s="93"/>
      <c r="I71" s="211"/>
      <c r="J71" s="482"/>
      <c r="K71" s="486"/>
      <c r="L71" s="486"/>
    </row>
    <row r="72" spans="1:12">
      <c r="A72" s="92"/>
      <c r="B72" s="92"/>
      <c r="C72" s="91"/>
      <c r="D72" s="91"/>
      <c r="E72" s="91"/>
      <c r="F72" s="93"/>
      <c r="G72" s="93"/>
      <c r="H72" s="93"/>
      <c r="I72" s="211"/>
      <c r="J72" s="482"/>
      <c r="K72" s="486"/>
      <c r="L72" s="486"/>
    </row>
    <row r="73" spans="1:12">
      <c r="A73" s="92"/>
      <c r="B73" s="92"/>
      <c r="C73" s="91"/>
      <c r="D73" s="91"/>
      <c r="E73" s="91"/>
      <c r="F73" s="93"/>
      <c r="G73" s="93"/>
      <c r="H73" s="93"/>
      <c r="I73" s="211"/>
      <c r="J73" s="482"/>
      <c r="K73" s="486"/>
      <c r="L73" s="486"/>
    </row>
    <row r="74" spans="1:12">
      <c r="A74" s="92"/>
      <c r="B74" s="92"/>
      <c r="C74" s="91"/>
      <c r="D74" s="91"/>
      <c r="E74" s="91"/>
      <c r="F74" s="93"/>
      <c r="G74" s="93"/>
      <c r="H74" s="93"/>
      <c r="I74" s="211"/>
      <c r="J74" s="482"/>
      <c r="K74" s="486"/>
      <c r="L74" s="486"/>
    </row>
    <row r="75" spans="1:12">
      <c r="A75" s="92"/>
      <c r="B75" s="92"/>
      <c r="C75" s="91"/>
      <c r="D75" s="91"/>
      <c r="E75" s="91"/>
      <c r="F75" s="93"/>
      <c r="G75" s="93"/>
      <c r="H75" s="93"/>
      <c r="I75" s="211"/>
      <c r="J75" s="482"/>
      <c r="K75" s="486"/>
      <c r="L75" s="486"/>
    </row>
    <row r="76" spans="1:12">
      <c r="A76" s="92"/>
      <c r="B76" s="92"/>
      <c r="C76" s="91"/>
      <c r="D76" s="91"/>
      <c r="E76" s="91"/>
      <c r="F76" s="93"/>
      <c r="G76" s="93"/>
      <c r="H76" s="93"/>
      <c r="I76" s="211"/>
      <c r="J76" s="482"/>
      <c r="K76" s="486"/>
      <c r="L76" s="486"/>
    </row>
    <row r="77" spans="1:12">
      <c r="A77" s="92"/>
      <c r="B77" s="92"/>
      <c r="C77" s="91"/>
      <c r="D77" s="91"/>
      <c r="E77" s="91"/>
      <c r="F77" s="93"/>
      <c r="G77" s="93"/>
      <c r="H77" s="93"/>
      <c r="I77" s="211"/>
      <c r="J77" s="482"/>
      <c r="K77" s="486"/>
      <c r="L77" s="486"/>
    </row>
    <row r="78" spans="1:12">
      <c r="A78" s="92"/>
      <c r="B78" s="92"/>
      <c r="C78" s="91"/>
      <c r="D78" s="91"/>
      <c r="E78" s="91"/>
      <c r="F78" s="93"/>
      <c r="G78" s="93"/>
      <c r="H78" s="93"/>
      <c r="I78" s="211"/>
      <c r="J78" s="482"/>
      <c r="K78" s="486"/>
      <c r="L78" s="486"/>
    </row>
    <row r="79" spans="1:12">
      <c r="A79" s="92"/>
      <c r="B79" s="92"/>
      <c r="C79" s="91"/>
      <c r="D79" s="91"/>
      <c r="E79" s="91"/>
      <c r="F79" s="93"/>
      <c r="G79" s="93"/>
      <c r="H79" s="93"/>
      <c r="I79" s="211"/>
      <c r="J79" s="482"/>
      <c r="K79" s="486"/>
      <c r="L79" s="486"/>
    </row>
    <row r="80" spans="1:12">
      <c r="A80" s="92"/>
      <c r="B80" s="92"/>
      <c r="C80" s="91"/>
      <c r="D80" s="91"/>
      <c r="E80" s="91"/>
      <c r="F80" s="93"/>
      <c r="G80" s="93"/>
      <c r="H80" s="93"/>
      <c r="I80" s="211"/>
      <c r="J80" s="482"/>
      <c r="K80" s="486"/>
      <c r="L80" s="486"/>
    </row>
    <row r="81" spans="1:12">
      <c r="A81" s="92"/>
      <c r="B81" s="92"/>
      <c r="C81" s="91"/>
      <c r="D81" s="91"/>
      <c r="E81" s="91"/>
      <c r="F81" s="93"/>
      <c r="G81" s="93"/>
      <c r="H81" s="93"/>
      <c r="I81" s="211"/>
      <c r="J81" s="482"/>
      <c r="K81" s="486"/>
      <c r="L81" s="486"/>
    </row>
    <row r="82" spans="1:12">
      <c r="A82" s="92"/>
      <c r="B82" s="92"/>
      <c r="C82" s="91"/>
      <c r="D82" s="91"/>
      <c r="E82" s="91"/>
      <c r="F82" s="93"/>
      <c r="G82" s="93"/>
      <c r="H82" s="93"/>
      <c r="I82" s="211"/>
      <c r="J82" s="482"/>
      <c r="K82" s="486"/>
      <c r="L82" s="486"/>
    </row>
    <row r="83" spans="1:12" ht="18.75" thickBot="1">
      <c r="A83" s="92"/>
      <c r="B83" s="92"/>
      <c r="C83" s="94"/>
      <c r="D83" s="94"/>
      <c r="E83" s="94"/>
      <c r="F83" s="199"/>
      <c r="G83" s="199"/>
      <c r="H83" s="199"/>
      <c r="I83" s="212"/>
      <c r="J83" s="483"/>
      <c r="K83" s="486"/>
      <c r="L83" s="486"/>
    </row>
    <row r="84" spans="1:12">
      <c r="A84" s="3"/>
      <c r="B84" s="3"/>
      <c r="C84" s="3"/>
      <c r="D84" s="3"/>
      <c r="E84" s="3"/>
      <c r="F84" s="4"/>
      <c r="G84" s="4"/>
      <c r="H84" s="4"/>
      <c r="I84" s="213"/>
      <c r="J84" s="213"/>
    </row>
  </sheetData>
  <mergeCells count="2">
    <mergeCell ref="B1:G1"/>
    <mergeCell ref="A2:G2"/>
  </mergeCells>
  <phoneticPr fontId="41" type="noConversion"/>
  <conditionalFormatting sqref="C1:C14 C16:C1048576">
    <cfRule type="duplicateValues" dxfId="2" priority="2"/>
  </conditionalFormatting>
  <conditionalFormatting sqref="C15">
    <cfRule type="duplicateValues" dxfId="1" priority="1"/>
  </conditionalFormatting>
  <printOptions horizontalCentered="1" verticalCentered="1"/>
  <pageMargins left="0" right="0" top="0" bottom="0" header="0" footer="0"/>
  <pageSetup scale="43" orientation="landscape" r:id="rId1"/>
  <headerFooter differentOddEven="1"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AK150"/>
  <sheetViews>
    <sheetView showGridLines="0" tabSelected="1" zoomScale="60" zoomScaleNormal="60" workbookViewId="0">
      <pane xSplit="7" ySplit="4" topLeftCell="H5" activePane="bottomRight" state="frozen"/>
      <selection pane="topRight" activeCell="H1" sqref="H1"/>
      <selection pane="bottomLeft" activeCell="A6" sqref="A6"/>
      <selection pane="bottomRight" activeCell="I16" sqref="I16"/>
    </sheetView>
  </sheetViews>
  <sheetFormatPr defaultColWidth="9.140625" defaultRowHeight="18.75"/>
  <cols>
    <col min="1" max="1" width="12.7109375" style="221" customWidth="1"/>
    <col min="2" max="2" width="14.5703125" style="40" customWidth="1"/>
    <col min="3" max="3" width="12" style="40" customWidth="1"/>
    <col min="4" max="4" width="16.28515625" style="40" customWidth="1"/>
    <col min="5" max="5" width="13" style="40" customWidth="1"/>
    <col min="6" max="6" width="9.42578125" style="40" customWidth="1"/>
    <col min="7" max="7" width="13.140625" style="222" customWidth="1"/>
    <col min="8" max="8" width="16.85546875" style="223" customWidth="1"/>
    <col min="9" max="9" width="14" style="40" customWidth="1"/>
    <col min="10" max="10" width="12.85546875" style="40" customWidth="1"/>
    <col min="11" max="11" width="14.5703125" style="40" customWidth="1"/>
    <col min="12" max="12" width="11.5703125" style="40" customWidth="1"/>
    <col min="13" max="13" width="13.28515625" style="40" customWidth="1"/>
    <col min="14" max="14" width="10.7109375" style="40" customWidth="1"/>
    <col min="15" max="15" width="8.7109375" style="40" customWidth="1"/>
    <col min="16" max="16" width="10" style="40" customWidth="1"/>
    <col min="17" max="17" width="9" style="40" customWidth="1"/>
    <col min="18" max="18" width="11.5703125" style="40" customWidth="1"/>
    <col min="19" max="19" width="10" style="40" customWidth="1"/>
    <col min="20" max="20" width="14.28515625" style="40" customWidth="1"/>
    <col min="21" max="21" width="11.85546875" style="40" customWidth="1"/>
    <col min="22" max="23" width="12.140625" style="40" customWidth="1"/>
    <col min="24" max="24" width="12.42578125" style="40" customWidth="1"/>
    <col min="25" max="25" width="12.85546875" style="40" customWidth="1"/>
    <col min="26" max="26" width="14.28515625" style="40" customWidth="1"/>
    <col min="27" max="27" width="10.85546875" style="40" customWidth="1"/>
    <col min="28" max="28" width="16.85546875" style="40" customWidth="1"/>
    <col min="29" max="29" width="13.140625" style="40" customWidth="1"/>
    <col min="30" max="30" width="23.7109375" style="222" customWidth="1"/>
    <col min="31" max="31" width="17.5703125" style="222" customWidth="1"/>
    <col min="32" max="32" width="16.7109375" style="40" customWidth="1"/>
    <col min="33" max="33" width="20.42578125" style="40" customWidth="1"/>
    <col min="34" max="34" width="9.85546875" style="40" customWidth="1"/>
    <col min="35" max="35" width="10.5703125" style="40" customWidth="1"/>
    <col min="36" max="36" width="8" style="220" customWidth="1"/>
    <col min="37" max="37" width="8.140625" style="40" customWidth="1"/>
    <col min="38" max="189" width="3" style="40" customWidth="1"/>
    <col min="190" max="16384" width="9.140625" style="40"/>
  </cols>
  <sheetData>
    <row r="1" spans="1:37" ht="59.45" customHeight="1">
      <c r="A1" s="95"/>
      <c r="B1" s="96" t="s">
        <v>0</v>
      </c>
      <c r="C1" s="97"/>
      <c r="D1" s="97"/>
      <c r="E1" s="97"/>
      <c r="F1" s="97"/>
      <c r="G1" s="97"/>
      <c r="H1" s="98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6"/>
      <c r="AE1" s="96"/>
      <c r="AF1" s="39"/>
      <c r="AG1" s="39"/>
      <c r="AH1" s="39"/>
      <c r="AI1" s="39"/>
      <c r="AJ1" s="39"/>
    </row>
    <row r="2" spans="1:37" s="42" customFormat="1" ht="34.15" customHeight="1" thickBot="1">
      <c r="A2" s="240" t="s">
        <v>179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99"/>
      <c r="AE2" s="99"/>
      <c r="AF2" s="217"/>
      <c r="AG2" s="217"/>
      <c r="AH2" s="217"/>
      <c r="AI2" s="217"/>
      <c r="AJ2" s="217"/>
      <c r="AK2" s="217"/>
    </row>
    <row r="3" spans="1:37" s="218" customFormat="1" ht="19.5" thickBot="1">
      <c r="A3" s="241" t="s">
        <v>2</v>
      </c>
      <c r="B3" s="242"/>
      <c r="C3" s="242"/>
      <c r="D3" s="242"/>
      <c r="E3" s="242"/>
      <c r="F3" s="242"/>
      <c r="G3" s="243"/>
      <c r="H3" s="244" t="s">
        <v>3</v>
      </c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4" t="s">
        <v>4</v>
      </c>
      <c r="U3" s="245"/>
      <c r="V3" s="245"/>
      <c r="W3" s="245"/>
      <c r="X3" s="245"/>
      <c r="Y3" s="245"/>
      <c r="Z3" s="245"/>
      <c r="AA3" s="245"/>
      <c r="AB3" s="245"/>
      <c r="AC3" s="246"/>
      <c r="AD3" s="200"/>
      <c r="AE3" s="200"/>
      <c r="AJ3" s="219"/>
    </row>
    <row r="4" spans="1:37" ht="63.75" thickBot="1">
      <c r="A4" s="58" t="s">
        <v>87</v>
      </c>
      <c r="B4" s="59" t="s">
        <v>7</v>
      </c>
      <c r="C4" s="59" t="s">
        <v>8</v>
      </c>
      <c r="D4" s="59" t="s">
        <v>9</v>
      </c>
      <c r="E4" s="60" t="s">
        <v>10</v>
      </c>
      <c r="F4" s="61" t="s">
        <v>11</v>
      </c>
      <c r="G4" s="64" t="s">
        <v>12</v>
      </c>
      <c r="H4" s="62" t="s">
        <v>88</v>
      </c>
      <c r="I4" s="63" t="s">
        <v>89</v>
      </c>
      <c r="J4" s="64" t="s">
        <v>13</v>
      </c>
      <c r="K4" s="65" t="s">
        <v>14</v>
      </c>
      <c r="L4" s="63" t="s">
        <v>15</v>
      </c>
      <c r="M4" s="63" t="s">
        <v>16</v>
      </c>
      <c r="N4" s="63" t="s">
        <v>17</v>
      </c>
      <c r="O4" s="63" t="s">
        <v>90</v>
      </c>
      <c r="P4" s="63" t="s">
        <v>18</v>
      </c>
      <c r="Q4" s="64" t="s">
        <v>19</v>
      </c>
      <c r="R4" s="100" t="s">
        <v>20</v>
      </c>
      <c r="S4" s="66" t="s">
        <v>21</v>
      </c>
      <c r="T4" s="67" t="s">
        <v>22</v>
      </c>
      <c r="U4" s="68" t="s">
        <v>23</v>
      </c>
      <c r="V4" s="411" t="s">
        <v>24</v>
      </c>
      <c r="W4" s="411" t="s">
        <v>278</v>
      </c>
      <c r="X4" s="68" t="s">
        <v>25</v>
      </c>
      <c r="Y4" s="411" t="s">
        <v>26</v>
      </c>
      <c r="Z4" s="68" t="s">
        <v>27</v>
      </c>
      <c r="AA4" s="68" t="s">
        <v>28</v>
      </c>
      <c r="AB4" s="68" t="s">
        <v>29</v>
      </c>
      <c r="AC4" s="101" t="s">
        <v>30</v>
      </c>
      <c r="AD4" s="201"/>
      <c r="AE4" s="201"/>
    </row>
    <row r="5" spans="1:37" ht="48" thickBot="1">
      <c r="A5" s="69" t="s">
        <v>33</v>
      </c>
      <c r="B5" s="70" t="s">
        <v>34</v>
      </c>
      <c r="C5" s="70" t="s">
        <v>35</v>
      </c>
      <c r="D5" s="70" t="s">
        <v>36</v>
      </c>
      <c r="E5" s="71" t="s">
        <v>37</v>
      </c>
      <c r="F5" s="72" t="s">
        <v>38</v>
      </c>
      <c r="G5" s="75" t="s">
        <v>12</v>
      </c>
      <c r="H5" s="73" t="s">
        <v>39</v>
      </c>
      <c r="I5" s="74" t="s">
        <v>40</v>
      </c>
      <c r="J5" s="75" t="s">
        <v>41</v>
      </c>
      <c r="K5" s="76" t="s">
        <v>42</v>
      </c>
      <c r="L5" s="74" t="s">
        <v>43</v>
      </c>
      <c r="M5" s="74" t="s">
        <v>44</v>
      </c>
      <c r="N5" s="74" t="s">
        <v>45</v>
      </c>
      <c r="O5" s="74" t="s">
        <v>46</v>
      </c>
      <c r="P5" s="74" t="s">
        <v>47</v>
      </c>
      <c r="Q5" s="75" t="s">
        <v>48</v>
      </c>
      <c r="R5" s="102" t="s">
        <v>49</v>
      </c>
      <c r="S5" s="77" t="s">
        <v>50</v>
      </c>
      <c r="T5" s="78" t="s">
        <v>51</v>
      </c>
      <c r="U5" s="79" t="s">
        <v>52</v>
      </c>
      <c r="V5" s="412" t="s">
        <v>53</v>
      </c>
      <c r="W5" s="412"/>
      <c r="X5" s="79" t="s">
        <v>54</v>
      </c>
      <c r="Y5" s="412" t="s">
        <v>55</v>
      </c>
      <c r="Z5" s="79" t="s">
        <v>27</v>
      </c>
      <c r="AA5" s="79" t="s">
        <v>56</v>
      </c>
      <c r="AB5" s="79" t="s">
        <v>57</v>
      </c>
      <c r="AC5" s="103" t="s">
        <v>58</v>
      </c>
      <c r="AD5" s="201"/>
      <c r="AE5" s="201"/>
    </row>
    <row r="6" spans="1:37" ht="19.5" thickBot="1">
      <c r="A6" s="80" t="s">
        <v>61</v>
      </c>
      <c r="B6" s="81" t="s">
        <v>62</v>
      </c>
      <c r="C6" s="81" t="s">
        <v>63</v>
      </c>
      <c r="D6" s="81" t="s">
        <v>64</v>
      </c>
      <c r="E6" s="82" t="s">
        <v>65</v>
      </c>
      <c r="F6" s="83" t="s">
        <v>66</v>
      </c>
      <c r="G6" s="104" t="s">
        <v>67</v>
      </c>
      <c r="H6" s="84" t="s">
        <v>68</v>
      </c>
      <c r="I6" s="85" t="s">
        <v>69</v>
      </c>
      <c r="J6" s="86" t="s">
        <v>70</v>
      </c>
      <c r="K6" s="87" t="s">
        <v>71</v>
      </c>
      <c r="L6" s="85" t="s">
        <v>72</v>
      </c>
      <c r="M6" s="85" t="s">
        <v>73</v>
      </c>
      <c r="N6" s="85" t="s">
        <v>74</v>
      </c>
      <c r="O6" s="85" t="s">
        <v>75</v>
      </c>
      <c r="P6" s="85" t="s">
        <v>76</v>
      </c>
      <c r="Q6" s="88" t="s">
        <v>77</v>
      </c>
      <c r="R6" s="105" t="s">
        <v>78</v>
      </c>
      <c r="S6" s="89" t="s">
        <v>79</v>
      </c>
      <c r="T6" s="90" t="s">
        <v>80</v>
      </c>
      <c r="U6" s="106" t="s">
        <v>81</v>
      </c>
      <c r="V6" s="413" t="s">
        <v>82</v>
      </c>
      <c r="W6" s="413"/>
      <c r="X6" s="106" t="s">
        <v>83</v>
      </c>
      <c r="Y6" s="413" t="s">
        <v>84</v>
      </c>
      <c r="Z6" s="106" t="s">
        <v>85</v>
      </c>
      <c r="AA6" s="106" t="s">
        <v>86</v>
      </c>
      <c r="AB6" s="107"/>
      <c r="AC6" s="107"/>
      <c r="AD6" s="201"/>
      <c r="AE6" s="201"/>
    </row>
    <row r="7" spans="1:37" ht="19.5" thickBot="1">
      <c r="A7" s="108">
        <v>46086</v>
      </c>
      <c r="B7" s="109" t="s">
        <v>92</v>
      </c>
      <c r="C7" s="110" t="s">
        <v>160</v>
      </c>
      <c r="D7" s="110" t="str">
        <f>IF(C7=" "," ",VLOOKUP(C7,'Dữ Liệu'!$C$7:$D$134,2,FALSE))</f>
        <v>GUA</v>
      </c>
      <c r="E7" s="110" t="s">
        <v>93</v>
      </c>
      <c r="F7" s="111" t="s">
        <v>161</v>
      </c>
      <c r="G7" s="112" t="s">
        <v>162</v>
      </c>
      <c r="H7" s="113">
        <v>51</v>
      </c>
      <c r="I7" s="114">
        <f t="shared" ref="I7:I64" si="0">H7-J7</f>
        <v>47</v>
      </c>
      <c r="J7" s="115">
        <f t="shared" ref="J7:J19" si="1">SUM(K7:Q7)</f>
        <v>4</v>
      </c>
      <c r="K7" s="116"/>
      <c r="L7" s="114"/>
      <c r="M7" s="114"/>
      <c r="N7" s="114"/>
      <c r="O7" s="114">
        <v>3</v>
      </c>
      <c r="P7" s="114">
        <v>1</v>
      </c>
      <c r="Q7" s="117"/>
      <c r="R7" s="114"/>
      <c r="S7" s="118">
        <f t="shared" ref="S7:S64" si="2">J7/H7</f>
        <v>7.8431372549019607E-2</v>
      </c>
      <c r="T7" s="119"/>
      <c r="U7" s="120"/>
      <c r="V7" s="120">
        <v>4</v>
      </c>
      <c r="W7" s="120">
        <v>1.5</v>
      </c>
      <c r="X7" s="120"/>
      <c r="Y7" s="120">
        <v>1</v>
      </c>
      <c r="Z7" s="120"/>
      <c r="AA7" s="120"/>
      <c r="AB7" s="120"/>
      <c r="AC7" s="120"/>
      <c r="AD7" s="202" t="str">
        <f>C7&amp;F7&amp;G7&amp;B7</f>
        <v>BR1144WHLKIEM</v>
      </c>
      <c r="AE7" s="202" t="str">
        <f>C7&amp;F7&amp;G7</f>
        <v>BR1144WHL</v>
      </c>
    </row>
    <row r="8" spans="1:37" ht="19.5" thickBot="1">
      <c r="A8" s="121">
        <v>46086</v>
      </c>
      <c r="B8" s="122" t="s">
        <v>92</v>
      </c>
      <c r="C8" s="123" t="s">
        <v>160</v>
      </c>
      <c r="D8" s="124" t="str">
        <f>IF(C8=" "," ",VLOOKUP(C8,'Dữ Liệu'!$C$7:$D$134,2,FALSE))</f>
        <v>GUA</v>
      </c>
      <c r="E8" s="125" t="s">
        <v>93</v>
      </c>
      <c r="F8" s="126" t="s">
        <v>161</v>
      </c>
      <c r="G8" s="127" t="s">
        <v>164</v>
      </c>
      <c r="H8" s="128">
        <v>67</v>
      </c>
      <c r="I8" s="129">
        <f t="shared" si="0"/>
        <v>60</v>
      </c>
      <c r="J8" s="130">
        <f t="shared" si="1"/>
        <v>7</v>
      </c>
      <c r="K8" s="131"/>
      <c r="L8" s="129"/>
      <c r="M8" s="129"/>
      <c r="N8" s="129"/>
      <c r="O8" s="129">
        <v>5</v>
      </c>
      <c r="P8" s="129">
        <v>2</v>
      </c>
      <c r="Q8" s="132"/>
      <c r="R8" s="129"/>
      <c r="S8" s="133">
        <f t="shared" si="2"/>
        <v>0.1044776119402985</v>
      </c>
      <c r="T8" s="134"/>
      <c r="U8" s="135"/>
      <c r="V8" s="120">
        <v>4</v>
      </c>
      <c r="W8" s="120">
        <v>1.5</v>
      </c>
      <c r="X8" s="135"/>
      <c r="Y8" s="120">
        <v>1</v>
      </c>
      <c r="Z8" s="135"/>
      <c r="AA8" s="135"/>
      <c r="AB8" s="135"/>
      <c r="AC8" s="135"/>
      <c r="AD8" s="202" t="str">
        <f t="shared" ref="AD8:AD71" si="3">C8&amp;F8&amp;G8&amp;B8</f>
        <v>BR1144WHLLKIEM</v>
      </c>
      <c r="AE8" s="202" t="str">
        <f t="shared" ref="AE8:AE71" si="4">C8&amp;F8&amp;G8</f>
        <v>BR1144WHLL</v>
      </c>
    </row>
    <row r="9" spans="1:37" ht="19.5" thickBot="1">
      <c r="A9" s="121">
        <v>46086</v>
      </c>
      <c r="B9" s="136" t="s">
        <v>92</v>
      </c>
      <c r="C9" s="137" t="s">
        <v>165</v>
      </c>
      <c r="D9" s="138" t="str">
        <f>IF(C9=" "," ",VLOOKUP(C9,'Dữ Liệu'!$C$7:$D$134,2,FALSE))</f>
        <v>GUA</v>
      </c>
      <c r="E9" s="123" t="s">
        <v>93</v>
      </c>
      <c r="F9" s="126" t="s">
        <v>161</v>
      </c>
      <c r="G9" s="127" t="s">
        <v>166</v>
      </c>
      <c r="H9" s="128">
        <v>114</v>
      </c>
      <c r="I9" s="129">
        <f t="shared" si="0"/>
        <v>102</v>
      </c>
      <c r="J9" s="139">
        <f t="shared" si="1"/>
        <v>12</v>
      </c>
      <c r="K9" s="131"/>
      <c r="L9" s="129"/>
      <c r="M9" s="129"/>
      <c r="N9" s="129"/>
      <c r="O9" s="129">
        <v>9</v>
      </c>
      <c r="P9" s="129">
        <v>3</v>
      </c>
      <c r="Q9" s="132"/>
      <c r="R9" s="129"/>
      <c r="S9" s="133">
        <f t="shared" si="2"/>
        <v>0.10526315789473684</v>
      </c>
      <c r="T9" s="134"/>
      <c r="U9" s="135"/>
      <c r="V9" s="120">
        <v>4</v>
      </c>
      <c r="W9" s="120">
        <v>1.5</v>
      </c>
      <c r="X9" s="135"/>
      <c r="Y9" s="120">
        <v>1</v>
      </c>
      <c r="Z9" s="135"/>
      <c r="AA9" s="135"/>
      <c r="AB9" s="135"/>
      <c r="AC9" s="135"/>
      <c r="AD9" s="202" t="str">
        <f t="shared" si="3"/>
        <v>BR9071WHMKIEM</v>
      </c>
      <c r="AE9" s="202" t="str">
        <f t="shared" si="4"/>
        <v>BR9071WHM</v>
      </c>
    </row>
    <row r="10" spans="1:37" ht="19.5" thickBot="1">
      <c r="A10" s="121">
        <v>46086</v>
      </c>
      <c r="B10" s="136" t="s">
        <v>92</v>
      </c>
      <c r="C10" s="123" t="s">
        <v>167</v>
      </c>
      <c r="D10" s="140" t="str">
        <f>IF(C10=" "," ",VLOOKUP(C10,'Dữ Liệu'!$C$7:$D$134,2,FALSE))</f>
        <v>GUA</v>
      </c>
      <c r="E10" s="123" t="s">
        <v>93</v>
      </c>
      <c r="F10" s="126" t="s">
        <v>161</v>
      </c>
      <c r="G10" s="141" t="s">
        <v>166</v>
      </c>
      <c r="H10" s="128">
        <v>91</v>
      </c>
      <c r="I10" s="129">
        <f t="shared" si="0"/>
        <v>85</v>
      </c>
      <c r="J10" s="139">
        <f t="shared" si="1"/>
        <v>6</v>
      </c>
      <c r="K10" s="131"/>
      <c r="L10" s="129"/>
      <c r="M10" s="129"/>
      <c r="N10" s="129"/>
      <c r="O10" s="142">
        <v>4</v>
      </c>
      <c r="P10" s="129">
        <v>2</v>
      </c>
      <c r="Q10" s="132"/>
      <c r="R10" s="129"/>
      <c r="S10" s="133">
        <f t="shared" si="2"/>
        <v>6.5934065934065936E-2</v>
      </c>
      <c r="T10" s="134"/>
      <c r="U10" s="135"/>
      <c r="V10" s="120">
        <v>4</v>
      </c>
      <c r="W10" s="120">
        <v>1.5</v>
      </c>
      <c r="X10" s="135"/>
      <c r="Y10" s="120">
        <v>1</v>
      </c>
      <c r="Z10" s="135"/>
      <c r="AA10" s="135"/>
      <c r="AB10" s="135"/>
      <c r="AC10" s="135"/>
      <c r="AD10" s="202" t="str">
        <f t="shared" si="3"/>
        <v>HS8078WHMKIEM</v>
      </c>
      <c r="AE10" s="202" t="str">
        <f t="shared" si="4"/>
        <v>HS8078WHM</v>
      </c>
    </row>
    <row r="11" spans="1:37" ht="19.5" thickBot="1">
      <c r="A11" s="121">
        <v>46086</v>
      </c>
      <c r="B11" s="136" t="s">
        <v>92</v>
      </c>
      <c r="C11" s="123" t="s">
        <v>167</v>
      </c>
      <c r="D11" s="140" t="str">
        <f>IF(C11=" "," ",VLOOKUP(C11,'Dữ Liệu'!$C$7:$D$134,2,FALSE))</f>
        <v>GUA</v>
      </c>
      <c r="E11" s="123" t="s">
        <v>93</v>
      </c>
      <c r="F11" s="126" t="s">
        <v>161</v>
      </c>
      <c r="G11" s="127" t="s">
        <v>162</v>
      </c>
      <c r="H11" s="128">
        <v>111</v>
      </c>
      <c r="I11" s="129">
        <f t="shared" si="0"/>
        <v>101</v>
      </c>
      <c r="J11" s="139">
        <f t="shared" si="1"/>
        <v>10</v>
      </c>
      <c r="K11" s="131"/>
      <c r="L11" s="129"/>
      <c r="M11" s="129"/>
      <c r="N11" s="129"/>
      <c r="O11" s="129">
        <v>6</v>
      </c>
      <c r="P11" s="129">
        <v>4</v>
      </c>
      <c r="Q11" s="132"/>
      <c r="R11" s="129"/>
      <c r="S11" s="133">
        <f t="shared" si="2"/>
        <v>9.0090090090090086E-2</v>
      </c>
      <c r="T11" s="134"/>
      <c r="U11" s="135"/>
      <c r="V11" s="120">
        <v>4</v>
      </c>
      <c r="W11" s="120">
        <v>1.5</v>
      </c>
      <c r="X11" s="135"/>
      <c r="Y11" s="120">
        <v>1</v>
      </c>
      <c r="Z11" s="135"/>
      <c r="AA11" s="135"/>
      <c r="AB11" s="135"/>
      <c r="AC11" s="135"/>
      <c r="AD11" s="202" t="str">
        <f t="shared" si="3"/>
        <v>HS8078WHLKIEM</v>
      </c>
      <c r="AE11" s="202" t="str">
        <f t="shared" si="4"/>
        <v>HS8078WHL</v>
      </c>
    </row>
    <row r="12" spans="1:37" ht="19.5" thickBot="1">
      <c r="A12" s="121">
        <v>46086</v>
      </c>
      <c r="B12" s="136" t="s">
        <v>92</v>
      </c>
      <c r="C12" s="123" t="s">
        <v>167</v>
      </c>
      <c r="D12" s="140" t="str">
        <f>IF(C12=" "," ",VLOOKUP(C12,'Dữ Liệu'!$C$7:$D$134,2,FALSE))</f>
        <v>GUA</v>
      </c>
      <c r="E12" s="123" t="s">
        <v>93</v>
      </c>
      <c r="F12" s="126" t="s">
        <v>161</v>
      </c>
      <c r="G12" s="127" t="s">
        <v>164</v>
      </c>
      <c r="H12" s="128">
        <v>66</v>
      </c>
      <c r="I12" s="129">
        <f t="shared" si="0"/>
        <v>63</v>
      </c>
      <c r="J12" s="139">
        <f t="shared" si="1"/>
        <v>3</v>
      </c>
      <c r="K12" s="131"/>
      <c r="L12" s="129"/>
      <c r="M12" s="129"/>
      <c r="N12" s="129"/>
      <c r="O12" s="142">
        <v>2</v>
      </c>
      <c r="P12" s="129">
        <v>1</v>
      </c>
      <c r="Q12" s="132"/>
      <c r="R12" s="129"/>
      <c r="S12" s="133">
        <f t="shared" si="2"/>
        <v>4.5454545454545456E-2</v>
      </c>
      <c r="T12" s="134"/>
      <c r="U12" s="135"/>
      <c r="V12" s="120">
        <v>4</v>
      </c>
      <c r="W12" s="120">
        <v>1.5</v>
      </c>
      <c r="X12" s="135"/>
      <c r="Y12" s="120">
        <v>1</v>
      </c>
      <c r="Z12" s="135"/>
      <c r="AA12" s="135"/>
      <c r="AB12" s="135"/>
      <c r="AC12" s="135"/>
      <c r="AD12" s="202" t="str">
        <f t="shared" si="3"/>
        <v>HS8078WHLLKIEM</v>
      </c>
      <c r="AE12" s="202" t="str">
        <f t="shared" si="4"/>
        <v>HS8078WHLL</v>
      </c>
    </row>
    <row r="13" spans="1:37">
      <c r="A13" s="121">
        <v>46086</v>
      </c>
      <c r="B13" s="136" t="s">
        <v>92</v>
      </c>
      <c r="C13" s="123" t="s">
        <v>168</v>
      </c>
      <c r="D13" s="140" t="str">
        <f>IF(C13=" "," ",VLOOKUP(C13,'Dữ Liệu'!$C$7:$D$134,2,FALSE))</f>
        <v>GUA</v>
      </c>
      <c r="E13" s="123" t="s">
        <v>93</v>
      </c>
      <c r="F13" s="126" t="s">
        <v>161</v>
      </c>
      <c r="G13" s="127" t="s">
        <v>169</v>
      </c>
      <c r="H13" s="128">
        <v>2</v>
      </c>
      <c r="I13" s="129">
        <f t="shared" si="0"/>
        <v>2</v>
      </c>
      <c r="J13" s="139">
        <f t="shared" si="1"/>
        <v>0</v>
      </c>
      <c r="K13" s="131"/>
      <c r="L13" s="129"/>
      <c r="M13" s="129"/>
      <c r="N13" s="129"/>
      <c r="O13" s="129"/>
      <c r="P13" s="129"/>
      <c r="Q13" s="132"/>
      <c r="R13" s="129"/>
      <c r="S13" s="133">
        <f t="shared" si="2"/>
        <v>0</v>
      </c>
      <c r="T13" s="134"/>
      <c r="U13" s="135"/>
      <c r="V13" s="120">
        <v>4</v>
      </c>
      <c r="W13" s="120">
        <v>1.5</v>
      </c>
      <c r="X13" s="135"/>
      <c r="Y13" s="120">
        <v>1</v>
      </c>
      <c r="Z13" s="135"/>
      <c r="AA13" s="135"/>
      <c r="AB13" s="135"/>
      <c r="AC13" s="135"/>
      <c r="AD13" s="202" t="str">
        <f t="shared" si="3"/>
        <v>BR9070WHSKIEM</v>
      </c>
      <c r="AE13" s="202" t="str">
        <f t="shared" si="4"/>
        <v>BR9070WHS</v>
      </c>
    </row>
    <row r="14" spans="1:37" s="315" customFormat="1">
      <c r="A14" s="300">
        <v>46086</v>
      </c>
      <c r="B14" s="301" t="s">
        <v>92</v>
      </c>
      <c r="C14" s="302" t="s">
        <v>168</v>
      </c>
      <c r="D14" s="303" t="str">
        <f>IF(C14=" "," ",VLOOKUP(C14,'Dữ Liệu'!$C$7:$D$134,2,FALSE))</f>
        <v>GUA</v>
      </c>
      <c r="E14" s="302" t="s">
        <v>93</v>
      </c>
      <c r="F14" s="304" t="s">
        <v>161</v>
      </c>
      <c r="G14" s="305" t="s">
        <v>166</v>
      </c>
      <c r="H14" s="306">
        <v>2</v>
      </c>
      <c r="I14" s="307">
        <f t="shared" si="0"/>
        <v>2</v>
      </c>
      <c r="J14" s="308">
        <f t="shared" si="1"/>
        <v>0</v>
      </c>
      <c r="K14" s="309"/>
      <c r="L14" s="307"/>
      <c r="M14" s="307"/>
      <c r="N14" s="307"/>
      <c r="O14" s="307"/>
      <c r="P14" s="307"/>
      <c r="Q14" s="310"/>
      <c r="R14" s="307"/>
      <c r="S14" s="311">
        <f t="shared" si="2"/>
        <v>0</v>
      </c>
      <c r="T14" s="312"/>
      <c r="U14" s="313"/>
      <c r="V14" s="313"/>
      <c r="W14" s="313"/>
      <c r="X14" s="313"/>
      <c r="Y14" s="313"/>
      <c r="Z14" s="313"/>
      <c r="AA14" s="313"/>
      <c r="AB14" s="313"/>
      <c r="AC14" s="313"/>
      <c r="AD14" s="314" t="str">
        <f t="shared" si="3"/>
        <v>BR9070WHMKIEM</v>
      </c>
      <c r="AE14" s="314" t="str">
        <f t="shared" si="4"/>
        <v>BR9070WHM</v>
      </c>
      <c r="AJ14" s="316"/>
    </row>
    <row r="15" spans="1:37" s="315" customFormat="1">
      <c r="A15" s="300">
        <v>46086</v>
      </c>
      <c r="B15" s="301" t="s">
        <v>92</v>
      </c>
      <c r="C15" s="302" t="s">
        <v>168</v>
      </c>
      <c r="D15" s="303" t="str">
        <f>IF(C15=" "," ",VLOOKUP(C15,'Dữ Liệu'!$C$7:$D$134,2,FALSE))</f>
        <v>GUA</v>
      </c>
      <c r="E15" s="302" t="s">
        <v>93</v>
      </c>
      <c r="F15" s="304" t="s">
        <v>161</v>
      </c>
      <c r="G15" s="305" t="s">
        <v>164</v>
      </c>
      <c r="H15" s="306">
        <v>1</v>
      </c>
      <c r="I15" s="307">
        <f t="shared" si="0"/>
        <v>1</v>
      </c>
      <c r="J15" s="308">
        <f t="shared" si="1"/>
        <v>0</v>
      </c>
      <c r="K15" s="309"/>
      <c r="L15" s="307"/>
      <c r="M15" s="307"/>
      <c r="N15" s="307"/>
      <c r="O15" s="307"/>
      <c r="P15" s="307"/>
      <c r="Q15" s="310"/>
      <c r="R15" s="307"/>
      <c r="S15" s="311">
        <f t="shared" si="2"/>
        <v>0</v>
      </c>
      <c r="T15" s="312"/>
      <c r="U15" s="313"/>
      <c r="V15" s="313"/>
      <c r="W15" s="313"/>
      <c r="X15" s="313"/>
      <c r="Y15" s="313"/>
      <c r="Z15" s="313"/>
      <c r="AA15" s="313"/>
      <c r="AB15" s="313"/>
      <c r="AC15" s="313"/>
      <c r="AD15" s="314" t="str">
        <f t="shared" si="3"/>
        <v>BR9070WHLLKIEM</v>
      </c>
      <c r="AE15" s="314" t="str">
        <f t="shared" si="4"/>
        <v>BR9070WHLL</v>
      </c>
      <c r="AJ15" s="316"/>
    </row>
    <row r="16" spans="1:37" s="315" customFormat="1">
      <c r="A16" s="300">
        <v>46086</v>
      </c>
      <c r="B16" s="317" t="s">
        <v>92</v>
      </c>
      <c r="C16" s="302" t="s">
        <v>170</v>
      </c>
      <c r="D16" s="303" t="str">
        <f>IF(C16=" "," ",VLOOKUP(C16,'Dữ Liệu'!$C$7:$D$134,2,FALSE))</f>
        <v>GUA</v>
      </c>
      <c r="E16" s="302" t="s">
        <v>93</v>
      </c>
      <c r="F16" s="304" t="s">
        <v>161</v>
      </c>
      <c r="G16" s="318" t="s">
        <v>166</v>
      </c>
      <c r="H16" s="306">
        <v>2</v>
      </c>
      <c r="I16" s="307">
        <f t="shared" si="0"/>
        <v>2</v>
      </c>
      <c r="J16" s="308">
        <f t="shared" si="1"/>
        <v>0</v>
      </c>
      <c r="K16" s="309"/>
      <c r="L16" s="307"/>
      <c r="M16" s="307"/>
      <c r="N16" s="307"/>
      <c r="O16" s="307"/>
      <c r="P16" s="307"/>
      <c r="Q16" s="310"/>
      <c r="R16" s="307"/>
      <c r="S16" s="311">
        <f t="shared" si="2"/>
        <v>0</v>
      </c>
      <c r="T16" s="312"/>
      <c r="U16" s="313"/>
      <c r="V16" s="313"/>
      <c r="W16" s="313"/>
      <c r="X16" s="313"/>
      <c r="Y16" s="313"/>
      <c r="Z16" s="313"/>
      <c r="AA16" s="313"/>
      <c r="AB16" s="313"/>
      <c r="AC16" s="313"/>
      <c r="AD16" s="314" t="str">
        <f t="shared" si="3"/>
        <v>HS8073WHMKIEM</v>
      </c>
      <c r="AE16" s="314" t="str">
        <f t="shared" si="4"/>
        <v>HS8073WHM</v>
      </c>
      <c r="AJ16" s="316"/>
    </row>
    <row r="17" spans="1:36" s="315" customFormat="1">
      <c r="A17" s="300">
        <v>46086</v>
      </c>
      <c r="B17" s="319" t="s">
        <v>92</v>
      </c>
      <c r="C17" s="302" t="s">
        <v>170</v>
      </c>
      <c r="D17" s="302" t="str">
        <f>IF(C17=" "," ",VLOOKUP(C17,'Dữ Liệu'!$C$7:$D$134,2,FALSE))</f>
        <v>GUA</v>
      </c>
      <c r="E17" s="320" t="s">
        <v>93</v>
      </c>
      <c r="F17" s="304" t="s">
        <v>161</v>
      </c>
      <c r="G17" s="321" t="s">
        <v>162</v>
      </c>
      <c r="H17" s="306">
        <v>1</v>
      </c>
      <c r="I17" s="307">
        <f t="shared" si="0"/>
        <v>1</v>
      </c>
      <c r="J17" s="308">
        <f t="shared" si="1"/>
        <v>0</v>
      </c>
      <c r="K17" s="309"/>
      <c r="L17" s="307"/>
      <c r="M17" s="307"/>
      <c r="N17" s="307"/>
      <c r="O17" s="307"/>
      <c r="P17" s="307"/>
      <c r="Q17" s="310"/>
      <c r="R17" s="307"/>
      <c r="S17" s="311">
        <f t="shared" si="2"/>
        <v>0</v>
      </c>
      <c r="T17" s="312"/>
      <c r="U17" s="313"/>
      <c r="V17" s="313"/>
      <c r="W17" s="313"/>
      <c r="X17" s="313"/>
      <c r="Y17" s="313"/>
      <c r="Z17" s="313"/>
      <c r="AA17" s="313"/>
      <c r="AB17" s="313"/>
      <c r="AC17" s="313"/>
      <c r="AD17" s="314" t="str">
        <f t="shared" si="3"/>
        <v>HS8073WHLKIEM</v>
      </c>
      <c r="AE17" s="314" t="str">
        <f t="shared" si="4"/>
        <v>HS8073WHL</v>
      </c>
      <c r="AJ17" s="316"/>
    </row>
    <row r="18" spans="1:36" s="315" customFormat="1">
      <c r="A18" s="300">
        <v>46086</v>
      </c>
      <c r="B18" s="301" t="s">
        <v>92</v>
      </c>
      <c r="C18" s="302" t="s">
        <v>171</v>
      </c>
      <c r="D18" s="302" t="str">
        <f>IF(C18=" "," ",VLOOKUP(C18,'Dữ Liệu'!$C$7:$D$134,2,FALSE))</f>
        <v>GUA</v>
      </c>
      <c r="E18" s="302" t="s">
        <v>93</v>
      </c>
      <c r="F18" s="304" t="s">
        <v>161</v>
      </c>
      <c r="G18" s="305" t="s">
        <v>162</v>
      </c>
      <c r="H18" s="306">
        <v>2</v>
      </c>
      <c r="I18" s="307">
        <f t="shared" si="0"/>
        <v>2</v>
      </c>
      <c r="J18" s="308">
        <f t="shared" si="1"/>
        <v>0</v>
      </c>
      <c r="K18" s="309"/>
      <c r="L18" s="307"/>
      <c r="M18" s="307"/>
      <c r="N18" s="307"/>
      <c r="O18" s="307"/>
      <c r="P18" s="307"/>
      <c r="Q18" s="310"/>
      <c r="R18" s="307"/>
      <c r="S18" s="311">
        <f t="shared" si="2"/>
        <v>0</v>
      </c>
      <c r="T18" s="312"/>
      <c r="U18" s="313"/>
      <c r="V18" s="313"/>
      <c r="W18" s="313"/>
      <c r="X18" s="313"/>
      <c r="Y18" s="313"/>
      <c r="Z18" s="313"/>
      <c r="AA18" s="313"/>
      <c r="AB18" s="313"/>
      <c r="AC18" s="313"/>
      <c r="AD18" s="314" t="str">
        <f t="shared" si="3"/>
        <v>BR1109WHLKIEM</v>
      </c>
      <c r="AE18" s="314" t="str">
        <f t="shared" si="4"/>
        <v>BR1109WHL</v>
      </c>
      <c r="AJ18" s="316"/>
    </row>
    <row r="19" spans="1:36" s="315" customFormat="1">
      <c r="A19" s="300">
        <v>46086</v>
      </c>
      <c r="B19" s="301" t="s">
        <v>94</v>
      </c>
      <c r="C19" s="302" t="s">
        <v>160</v>
      </c>
      <c r="D19" s="302" t="str">
        <f>IF(C19=" "," ",VLOOKUP(C19,'Dữ Liệu'!$C$7:$D$134,2,FALSE))</f>
        <v>GUA</v>
      </c>
      <c r="E19" s="302" t="s">
        <v>93</v>
      </c>
      <c r="F19" s="304" t="s">
        <v>161</v>
      </c>
      <c r="G19" s="305" t="s">
        <v>162</v>
      </c>
      <c r="H19" s="306">
        <v>4</v>
      </c>
      <c r="I19" s="307">
        <f t="shared" si="0"/>
        <v>4</v>
      </c>
      <c r="J19" s="308">
        <f t="shared" si="1"/>
        <v>0</v>
      </c>
      <c r="K19" s="309"/>
      <c r="L19" s="307"/>
      <c r="M19" s="307"/>
      <c r="N19" s="307"/>
      <c r="O19" s="307"/>
      <c r="P19" s="307"/>
      <c r="Q19" s="310"/>
      <c r="R19" s="307"/>
      <c r="S19" s="311">
        <f t="shared" si="2"/>
        <v>0</v>
      </c>
      <c r="T19" s="312"/>
      <c r="U19" s="313"/>
      <c r="V19" s="313"/>
      <c r="W19" s="313"/>
      <c r="X19" s="313"/>
      <c r="Y19" s="313"/>
      <c r="Z19" s="313"/>
      <c r="AA19" s="313"/>
      <c r="AB19" s="313"/>
      <c r="AC19" s="313"/>
      <c r="AD19" s="314" t="str">
        <f t="shared" si="3"/>
        <v>BR1144WHLTAIKIEM</v>
      </c>
      <c r="AE19" s="314" t="str">
        <f t="shared" si="4"/>
        <v>BR1144WHL</v>
      </c>
      <c r="AJ19" s="316"/>
    </row>
    <row r="20" spans="1:36" s="315" customFormat="1">
      <c r="A20" s="300">
        <v>46086</v>
      </c>
      <c r="B20" s="301" t="s">
        <v>94</v>
      </c>
      <c r="C20" s="302" t="s">
        <v>160</v>
      </c>
      <c r="D20" s="302" t="str">
        <f>IF(C20=" "," ",VLOOKUP(C20,'Dữ Liệu'!$C$7:$D$134,2,FALSE))</f>
        <v>GUA</v>
      </c>
      <c r="E20" s="302" t="s">
        <v>93</v>
      </c>
      <c r="F20" s="304" t="s">
        <v>161</v>
      </c>
      <c r="G20" s="321" t="s">
        <v>164</v>
      </c>
      <c r="H20" s="306">
        <v>7</v>
      </c>
      <c r="I20" s="307">
        <f t="shared" si="0"/>
        <v>7</v>
      </c>
      <c r="J20" s="308">
        <f t="shared" ref="J20:J64" si="5">SUM(K20:Q20)</f>
        <v>0</v>
      </c>
      <c r="K20" s="309"/>
      <c r="L20" s="307"/>
      <c r="M20" s="307"/>
      <c r="N20" s="307"/>
      <c r="O20" s="307"/>
      <c r="P20" s="307"/>
      <c r="Q20" s="310"/>
      <c r="R20" s="307"/>
      <c r="S20" s="311">
        <f t="shared" si="2"/>
        <v>0</v>
      </c>
      <c r="T20" s="312"/>
      <c r="U20" s="313"/>
      <c r="V20" s="313"/>
      <c r="W20" s="313"/>
      <c r="X20" s="313"/>
      <c r="Y20" s="313"/>
      <c r="Z20" s="313"/>
      <c r="AA20" s="313"/>
      <c r="AB20" s="313"/>
      <c r="AC20" s="313"/>
      <c r="AD20" s="314" t="str">
        <f t="shared" si="3"/>
        <v>BR1144WHLLTAIKIEM</v>
      </c>
      <c r="AE20" s="314" t="str">
        <f t="shared" si="4"/>
        <v>BR1144WHLL</v>
      </c>
      <c r="AJ20" s="316"/>
    </row>
    <row r="21" spans="1:36" s="315" customFormat="1">
      <c r="A21" s="300">
        <v>46086</v>
      </c>
      <c r="B21" s="301" t="s">
        <v>94</v>
      </c>
      <c r="C21" s="302" t="s">
        <v>165</v>
      </c>
      <c r="D21" s="302" t="str">
        <f>IF(C21=" "," ",VLOOKUP(C21,'Dữ Liệu'!$C$7:$D$134,2,FALSE))</f>
        <v>GUA</v>
      </c>
      <c r="E21" s="302" t="s">
        <v>93</v>
      </c>
      <c r="F21" s="304" t="s">
        <v>161</v>
      </c>
      <c r="G21" s="305" t="s">
        <v>166</v>
      </c>
      <c r="H21" s="306">
        <v>12</v>
      </c>
      <c r="I21" s="307">
        <f t="shared" si="0"/>
        <v>12</v>
      </c>
      <c r="J21" s="308">
        <f t="shared" si="5"/>
        <v>0</v>
      </c>
      <c r="K21" s="309"/>
      <c r="L21" s="307"/>
      <c r="M21" s="307"/>
      <c r="N21" s="307"/>
      <c r="O21" s="307"/>
      <c r="P21" s="307"/>
      <c r="Q21" s="310"/>
      <c r="R21" s="307"/>
      <c r="S21" s="311">
        <f t="shared" si="2"/>
        <v>0</v>
      </c>
      <c r="T21" s="312"/>
      <c r="U21" s="313"/>
      <c r="V21" s="313"/>
      <c r="W21" s="313"/>
      <c r="X21" s="313"/>
      <c r="Y21" s="313"/>
      <c r="Z21" s="313"/>
      <c r="AA21" s="313"/>
      <c r="AB21" s="313"/>
      <c r="AC21" s="313"/>
      <c r="AD21" s="314" t="str">
        <f t="shared" si="3"/>
        <v>BR9071WHMTAIKIEM</v>
      </c>
      <c r="AE21" s="314" t="str">
        <f t="shared" si="4"/>
        <v>BR9071WHM</v>
      </c>
      <c r="AJ21" s="316"/>
    </row>
    <row r="22" spans="1:36" s="315" customFormat="1">
      <c r="A22" s="300">
        <v>46086</v>
      </c>
      <c r="B22" s="301" t="s">
        <v>94</v>
      </c>
      <c r="C22" s="302" t="s">
        <v>167</v>
      </c>
      <c r="D22" s="302" t="str">
        <f>IF(C22=" "," ",VLOOKUP(C22,'Dữ Liệu'!$C$7:$D$134,2,FALSE))</f>
        <v>GUA</v>
      </c>
      <c r="E22" s="302" t="s">
        <v>93</v>
      </c>
      <c r="F22" s="304" t="s">
        <v>161</v>
      </c>
      <c r="G22" s="305" t="s">
        <v>166</v>
      </c>
      <c r="H22" s="306">
        <v>6</v>
      </c>
      <c r="I22" s="307">
        <f t="shared" si="0"/>
        <v>6</v>
      </c>
      <c r="J22" s="308">
        <f t="shared" si="5"/>
        <v>0</v>
      </c>
      <c r="K22" s="309"/>
      <c r="L22" s="307"/>
      <c r="M22" s="307"/>
      <c r="N22" s="307"/>
      <c r="O22" s="307"/>
      <c r="P22" s="307"/>
      <c r="Q22" s="310"/>
      <c r="R22" s="307"/>
      <c r="S22" s="311">
        <f t="shared" si="2"/>
        <v>0</v>
      </c>
      <c r="T22" s="312"/>
      <c r="U22" s="313"/>
      <c r="V22" s="313"/>
      <c r="W22" s="313"/>
      <c r="X22" s="313"/>
      <c r="Y22" s="313"/>
      <c r="Z22" s="313"/>
      <c r="AA22" s="313"/>
      <c r="AB22" s="313"/>
      <c r="AC22" s="313"/>
      <c r="AD22" s="314" t="str">
        <f t="shared" si="3"/>
        <v>HS8078WHMTAIKIEM</v>
      </c>
      <c r="AE22" s="314" t="str">
        <f t="shared" si="4"/>
        <v>HS8078WHM</v>
      </c>
      <c r="AJ22" s="316"/>
    </row>
    <row r="23" spans="1:36" s="315" customFormat="1">
      <c r="A23" s="300">
        <v>46086</v>
      </c>
      <c r="B23" s="301" t="s">
        <v>94</v>
      </c>
      <c r="C23" s="302" t="s">
        <v>167</v>
      </c>
      <c r="D23" s="302" t="str">
        <f>IF(C23=" "," ",VLOOKUP(C23,'Dữ Liệu'!$C$7:$D$134,2,FALSE))</f>
        <v>GUA</v>
      </c>
      <c r="E23" s="302" t="s">
        <v>93</v>
      </c>
      <c r="F23" s="304" t="s">
        <v>161</v>
      </c>
      <c r="G23" s="305" t="s">
        <v>162</v>
      </c>
      <c r="H23" s="306">
        <v>10</v>
      </c>
      <c r="I23" s="307">
        <f t="shared" si="0"/>
        <v>10</v>
      </c>
      <c r="J23" s="308">
        <f t="shared" si="5"/>
        <v>0</v>
      </c>
      <c r="K23" s="309"/>
      <c r="L23" s="307"/>
      <c r="M23" s="307"/>
      <c r="N23" s="307"/>
      <c r="O23" s="307"/>
      <c r="P23" s="307"/>
      <c r="Q23" s="310"/>
      <c r="R23" s="307"/>
      <c r="S23" s="311">
        <f t="shared" si="2"/>
        <v>0</v>
      </c>
      <c r="T23" s="312"/>
      <c r="U23" s="313"/>
      <c r="V23" s="313"/>
      <c r="W23" s="313"/>
      <c r="X23" s="313"/>
      <c r="Y23" s="313"/>
      <c r="Z23" s="313"/>
      <c r="AA23" s="313"/>
      <c r="AB23" s="313"/>
      <c r="AC23" s="313"/>
      <c r="AD23" s="314" t="str">
        <f t="shared" si="3"/>
        <v>HS8078WHLTAIKIEM</v>
      </c>
      <c r="AE23" s="314" t="str">
        <f t="shared" si="4"/>
        <v>HS8078WHL</v>
      </c>
      <c r="AJ23" s="316"/>
    </row>
    <row r="24" spans="1:36" s="315" customFormat="1">
      <c r="A24" s="300">
        <v>46086</v>
      </c>
      <c r="B24" s="301" t="s">
        <v>94</v>
      </c>
      <c r="C24" s="302" t="s">
        <v>167</v>
      </c>
      <c r="D24" s="302" t="str">
        <f>IF(C24=" "," ",VLOOKUP(C24,'Dữ Liệu'!$C$7:$D$134,2,FALSE))</f>
        <v>GUA</v>
      </c>
      <c r="E24" s="302" t="s">
        <v>93</v>
      </c>
      <c r="F24" s="304" t="s">
        <v>161</v>
      </c>
      <c r="G24" s="305" t="s">
        <v>164</v>
      </c>
      <c r="H24" s="306">
        <v>3</v>
      </c>
      <c r="I24" s="307">
        <f t="shared" si="0"/>
        <v>3</v>
      </c>
      <c r="J24" s="308">
        <f t="shared" si="5"/>
        <v>0</v>
      </c>
      <c r="K24" s="309"/>
      <c r="L24" s="307"/>
      <c r="M24" s="307"/>
      <c r="N24" s="307"/>
      <c r="O24" s="307"/>
      <c r="P24" s="307"/>
      <c r="Q24" s="310"/>
      <c r="R24" s="307"/>
      <c r="S24" s="311">
        <f t="shared" si="2"/>
        <v>0</v>
      </c>
      <c r="T24" s="312"/>
      <c r="U24" s="313"/>
      <c r="V24" s="313"/>
      <c r="W24" s="313"/>
      <c r="X24" s="313"/>
      <c r="Y24" s="313"/>
      <c r="Z24" s="313"/>
      <c r="AA24" s="313"/>
      <c r="AB24" s="313"/>
      <c r="AC24" s="313"/>
      <c r="AD24" s="314" t="str">
        <f t="shared" si="3"/>
        <v>HS8078WHLLTAIKIEM</v>
      </c>
      <c r="AE24" s="314" t="str">
        <f t="shared" si="4"/>
        <v>HS8078WHLL</v>
      </c>
      <c r="AJ24" s="316"/>
    </row>
    <row r="25" spans="1:36" s="351" customFormat="1">
      <c r="A25" s="339">
        <v>46090</v>
      </c>
      <c r="B25" s="340" t="s">
        <v>92</v>
      </c>
      <c r="C25" s="341" t="s">
        <v>165</v>
      </c>
      <c r="D25" s="341" t="str">
        <f>IF(C25=" "," ",VLOOKUP(C25,'Dữ Liệu'!$C$7:$D$134,2,FALSE))</f>
        <v>GUA</v>
      </c>
      <c r="E25" s="341" t="s">
        <v>93</v>
      </c>
      <c r="F25" s="342" t="s">
        <v>161</v>
      </c>
      <c r="G25" s="343" t="s">
        <v>169</v>
      </c>
      <c r="H25" s="344">
        <v>100</v>
      </c>
      <c r="I25" s="345">
        <f t="shared" si="0"/>
        <v>89</v>
      </c>
      <c r="J25" s="346">
        <f t="shared" si="5"/>
        <v>11</v>
      </c>
      <c r="K25" s="347"/>
      <c r="L25" s="345"/>
      <c r="M25" s="345"/>
      <c r="N25" s="345"/>
      <c r="O25" s="345">
        <v>9</v>
      </c>
      <c r="P25" s="345">
        <v>2</v>
      </c>
      <c r="Q25" s="348"/>
      <c r="R25" s="345"/>
      <c r="S25" s="349">
        <f t="shared" si="2"/>
        <v>0.11</v>
      </c>
      <c r="T25" s="350"/>
      <c r="U25" s="341"/>
      <c r="V25" s="341"/>
      <c r="W25" s="341"/>
      <c r="X25" s="341"/>
      <c r="Y25" s="341"/>
      <c r="Z25" s="341"/>
      <c r="AA25" s="341"/>
      <c r="AB25" s="341"/>
      <c r="AC25" s="341"/>
      <c r="AD25" s="335" t="str">
        <f t="shared" si="3"/>
        <v>BR9071WHSKIEM</v>
      </c>
      <c r="AE25" s="335" t="str">
        <f t="shared" si="4"/>
        <v>BR9071WHS</v>
      </c>
      <c r="AJ25" s="352"/>
    </row>
    <row r="26" spans="1:36" s="336" customFormat="1">
      <c r="A26" s="322">
        <v>46090</v>
      </c>
      <c r="B26" s="323" t="s">
        <v>92</v>
      </c>
      <c r="C26" s="324" t="s">
        <v>165</v>
      </c>
      <c r="D26" s="324" t="str">
        <f>IF(C26=" "," ",VLOOKUP(C26,'Dữ Liệu'!$C$7:$D$134,2,FALSE))</f>
        <v>GUA</v>
      </c>
      <c r="E26" s="324" t="s">
        <v>93</v>
      </c>
      <c r="F26" s="325" t="s">
        <v>161</v>
      </c>
      <c r="G26" s="338" t="s">
        <v>166</v>
      </c>
      <c r="H26" s="327">
        <v>86</v>
      </c>
      <c r="I26" s="328">
        <f t="shared" si="0"/>
        <v>81</v>
      </c>
      <c r="J26" s="329">
        <f t="shared" si="5"/>
        <v>5</v>
      </c>
      <c r="K26" s="330"/>
      <c r="L26" s="328"/>
      <c r="M26" s="328"/>
      <c r="N26" s="328"/>
      <c r="O26" s="328">
        <v>5</v>
      </c>
      <c r="P26" s="328"/>
      <c r="Q26" s="331"/>
      <c r="R26" s="328"/>
      <c r="S26" s="332">
        <f t="shared" si="2"/>
        <v>5.8139534883720929E-2</v>
      </c>
      <c r="T26" s="333"/>
      <c r="U26" s="334"/>
      <c r="V26" s="334"/>
      <c r="W26" s="334"/>
      <c r="X26" s="334"/>
      <c r="Y26" s="334"/>
      <c r="Z26" s="334"/>
      <c r="AA26" s="334"/>
      <c r="AB26" s="334"/>
      <c r="AC26" s="334"/>
      <c r="AD26" s="335" t="str">
        <f t="shared" si="3"/>
        <v>BR9071WHMKIEM</v>
      </c>
      <c r="AE26" s="335" t="str">
        <f t="shared" si="4"/>
        <v>BR9071WHM</v>
      </c>
      <c r="AJ26" s="337"/>
    </row>
    <row r="27" spans="1:36" s="336" customFormat="1">
      <c r="A27" s="322">
        <v>46090</v>
      </c>
      <c r="B27" s="323" t="s">
        <v>92</v>
      </c>
      <c r="C27" s="324" t="s">
        <v>165</v>
      </c>
      <c r="D27" s="324" t="str">
        <f>IF(C27=" "," ",VLOOKUP(C27,'Dữ Liệu'!$C$7:$D$134,2,FALSE))</f>
        <v>GUA</v>
      </c>
      <c r="E27" s="324" t="s">
        <v>93</v>
      </c>
      <c r="F27" s="325" t="s">
        <v>161</v>
      </c>
      <c r="G27" s="326" t="s">
        <v>162</v>
      </c>
      <c r="H27" s="327">
        <v>100</v>
      </c>
      <c r="I27" s="328">
        <f t="shared" si="0"/>
        <v>88</v>
      </c>
      <c r="J27" s="329">
        <f t="shared" si="5"/>
        <v>12</v>
      </c>
      <c r="K27" s="330"/>
      <c r="L27" s="328"/>
      <c r="M27" s="328"/>
      <c r="N27" s="328"/>
      <c r="O27" s="328">
        <v>9</v>
      </c>
      <c r="P27" s="328">
        <v>3</v>
      </c>
      <c r="Q27" s="331"/>
      <c r="R27" s="328"/>
      <c r="S27" s="332">
        <f t="shared" si="2"/>
        <v>0.12</v>
      </c>
      <c r="T27" s="333"/>
      <c r="U27" s="334"/>
      <c r="V27" s="334"/>
      <c r="W27" s="334"/>
      <c r="X27" s="334"/>
      <c r="Y27" s="334"/>
      <c r="Z27" s="334"/>
      <c r="AA27" s="334"/>
      <c r="AB27" s="334"/>
      <c r="AC27" s="334"/>
      <c r="AD27" s="335" t="str">
        <f t="shared" si="3"/>
        <v>BR9071WHLKIEM</v>
      </c>
      <c r="AE27" s="335" t="str">
        <f t="shared" si="4"/>
        <v>BR9071WHL</v>
      </c>
      <c r="AJ27" s="337"/>
    </row>
    <row r="28" spans="1:36" s="336" customFormat="1">
      <c r="A28" s="322">
        <v>46090</v>
      </c>
      <c r="B28" s="323" t="s">
        <v>92</v>
      </c>
      <c r="C28" s="324" t="s">
        <v>165</v>
      </c>
      <c r="D28" s="324" t="str">
        <f>IF(C28=" "," ",VLOOKUP(C28,'Dữ Liệu'!$C$7:$D$134,2,FALSE))</f>
        <v>GUA</v>
      </c>
      <c r="E28" s="324" t="s">
        <v>93</v>
      </c>
      <c r="F28" s="325" t="s">
        <v>161</v>
      </c>
      <c r="G28" s="326" t="s">
        <v>164</v>
      </c>
      <c r="H28" s="327">
        <v>50</v>
      </c>
      <c r="I28" s="328">
        <f t="shared" si="0"/>
        <v>47</v>
      </c>
      <c r="J28" s="329">
        <f t="shared" si="5"/>
        <v>3</v>
      </c>
      <c r="K28" s="330"/>
      <c r="L28" s="328"/>
      <c r="M28" s="328"/>
      <c r="N28" s="328"/>
      <c r="O28" s="328">
        <v>2</v>
      </c>
      <c r="P28" s="328">
        <v>1</v>
      </c>
      <c r="Q28" s="331"/>
      <c r="R28" s="328"/>
      <c r="S28" s="332">
        <f t="shared" si="2"/>
        <v>0.06</v>
      </c>
      <c r="T28" s="333"/>
      <c r="U28" s="334"/>
      <c r="V28" s="334"/>
      <c r="W28" s="334"/>
      <c r="X28" s="334"/>
      <c r="Y28" s="334"/>
      <c r="Z28" s="334"/>
      <c r="AA28" s="334"/>
      <c r="AB28" s="334"/>
      <c r="AC28" s="334"/>
      <c r="AD28" s="335" t="str">
        <f t="shared" si="3"/>
        <v>BR9071WHLLKIEM</v>
      </c>
      <c r="AE28" s="335" t="str">
        <f t="shared" si="4"/>
        <v>BR9071WHLL</v>
      </c>
      <c r="AJ28" s="337"/>
    </row>
    <row r="29" spans="1:36" s="336" customFormat="1">
      <c r="A29" s="322">
        <v>46090</v>
      </c>
      <c r="B29" s="323" t="s">
        <v>92</v>
      </c>
      <c r="C29" s="324" t="s">
        <v>165</v>
      </c>
      <c r="D29" s="324" t="str">
        <f>IF(C29=" "," ",VLOOKUP(C29,'Dữ Liệu'!$C$7:$D$134,2,FALSE))</f>
        <v>GUA</v>
      </c>
      <c r="E29" s="324" t="s">
        <v>93</v>
      </c>
      <c r="F29" s="325" t="s">
        <v>161</v>
      </c>
      <c r="G29" s="326" t="s">
        <v>172</v>
      </c>
      <c r="H29" s="327">
        <v>28</v>
      </c>
      <c r="I29" s="328">
        <f t="shared" si="0"/>
        <v>27</v>
      </c>
      <c r="J29" s="329">
        <f t="shared" si="5"/>
        <v>1</v>
      </c>
      <c r="K29" s="330"/>
      <c r="L29" s="328"/>
      <c r="M29" s="328"/>
      <c r="N29" s="328"/>
      <c r="O29" s="328">
        <v>1</v>
      </c>
      <c r="P29" s="328"/>
      <c r="Q29" s="331"/>
      <c r="R29" s="328"/>
      <c r="S29" s="332">
        <f t="shared" si="2"/>
        <v>3.5714285714285712E-2</v>
      </c>
      <c r="T29" s="333"/>
      <c r="U29" s="334"/>
      <c r="V29" s="334"/>
      <c r="W29" s="334"/>
      <c r="X29" s="334"/>
      <c r="Y29" s="334"/>
      <c r="Z29" s="334"/>
      <c r="AA29" s="334"/>
      <c r="AB29" s="334"/>
      <c r="AC29" s="334"/>
      <c r="AD29" s="335" t="str">
        <f t="shared" si="3"/>
        <v>BR9071WHELKIEM</v>
      </c>
      <c r="AE29" s="335" t="str">
        <f t="shared" si="4"/>
        <v>BR9071WHEL</v>
      </c>
      <c r="AJ29" s="337"/>
    </row>
    <row r="30" spans="1:36" s="336" customFormat="1">
      <c r="A30" s="322">
        <v>46090</v>
      </c>
      <c r="B30" s="323" t="s">
        <v>92</v>
      </c>
      <c r="C30" s="324" t="s">
        <v>165</v>
      </c>
      <c r="D30" s="324" t="str">
        <f>IF(C30=" "," ",VLOOKUP(C30,'Dữ Liệu'!$C$7:$D$134,2,FALSE))</f>
        <v>GUA</v>
      </c>
      <c r="E30" s="324" t="s">
        <v>93</v>
      </c>
      <c r="F30" s="325" t="s">
        <v>161</v>
      </c>
      <c r="G30" s="326" t="s">
        <v>173</v>
      </c>
      <c r="H30" s="327">
        <v>20</v>
      </c>
      <c r="I30" s="328">
        <f t="shared" si="0"/>
        <v>19</v>
      </c>
      <c r="J30" s="329">
        <f t="shared" si="5"/>
        <v>1</v>
      </c>
      <c r="K30" s="330"/>
      <c r="L30" s="328"/>
      <c r="M30" s="328"/>
      <c r="N30" s="328"/>
      <c r="O30" s="328">
        <v>1</v>
      </c>
      <c r="P30" s="328"/>
      <c r="Q30" s="331"/>
      <c r="R30" s="328"/>
      <c r="S30" s="332">
        <f t="shared" si="2"/>
        <v>0.05</v>
      </c>
      <c r="T30" s="333"/>
      <c r="U30" s="334"/>
      <c r="V30" s="334"/>
      <c r="W30" s="334"/>
      <c r="X30" s="334"/>
      <c r="Y30" s="334"/>
      <c r="Z30" s="334"/>
      <c r="AA30" s="334"/>
      <c r="AB30" s="334"/>
      <c r="AC30" s="334"/>
      <c r="AD30" s="335" t="str">
        <f t="shared" si="3"/>
        <v>BR9071WH4LKIEM</v>
      </c>
      <c r="AE30" s="335" t="str">
        <f t="shared" si="4"/>
        <v>BR9071WH4L</v>
      </c>
      <c r="AJ30" s="337"/>
    </row>
    <row r="31" spans="1:36" s="336" customFormat="1">
      <c r="A31" s="322">
        <v>46090</v>
      </c>
      <c r="B31" s="323" t="s">
        <v>92</v>
      </c>
      <c r="C31" s="324" t="s">
        <v>160</v>
      </c>
      <c r="D31" s="324" t="str">
        <f>IF(C31=" "," ",VLOOKUP(C31,'Dữ Liệu'!$C$7:$D$134,2,FALSE))</f>
        <v>GUA</v>
      </c>
      <c r="E31" s="324" t="s">
        <v>93</v>
      </c>
      <c r="F31" s="325" t="s">
        <v>161</v>
      </c>
      <c r="G31" s="326" t="s">
        <v>164</v>
      </c>
      <c r="H31" s="327">
        <v>38</v>
      </c>
      <c r="I31" s="328">
        <f t="shared" si="0"/>
        <v>37</v>
      </c>
      <c r="J31" s="329">
        <f t="shared" si="5"/>
        <v>1</v>
      </c>
      <c r="K31" s="330"/>
      <c r="L31" s="328"/>
      <c r="M31" s="328"/>
      <c r="N31" s="328"/>
      <c r="O31" s="328">
        <v>1</v>
      </c>
      <c r="P31" s="328"/>
      <c r="Q31" s="331"/>
      <c r="R31" s="328"/>
      <c r="S31" s="332">
        <f t="shared" si="2"/>
        <v>2.6315789473684209E-2</v>
      </c>
      <c r="T31" s="333"/>
      <c r="U31" s="334"/>
      <c r="V31" s="334"/>
      <c r="W31" s="334"/>
      <c r="X31" s="334"/>
      <c r="Y31" s="334"/>
      <c r="Z31" s="334"/>
      <c r="AA31" s="334"/>
      <c r="AB31" s="334"/>
      <c r="AC31" s="334"/>
      <c r="AD31" s="335" t="str">
        <f t="shared" si="3"/>
        <v>BR1144WHLLKIEM</v>
      </c>
      <c r="AE31" s="335" t="str">
        <f t="shared" si="4"/>
        <v>BR1144WHLL</v>
      </c>
      <c r="AJ31" s="337"/>
    </row>
    <row r="32" spans="1:36" s="351" customFormat="1">
      <c r="A32" s="339">
        <v>46090</v>
      </c>
      <c r="B32" s="340" t="s">
        <v>94</v>
      </c>
      <c r="C32" s="341" t="s">
        <v>165</v>
      </c>
      <c r="D32" s="341" t="str">
        <f>IF(C32=" "," ",VLOOKUP(C32,'Dữ Liệu'!$C$7:$D$134,2,FALSE))</f>
        <v>GUA</v>
      </c>
      <c r="E32" s="341" t="s">
        <v>93</v>
      </c>
      <c r="F32" s="342" t="s">
        <v>161</v>
      </c>
      <c r="G32" s="343" t="s">
        <v>169</v>
      </c>
      <c r="H32" s="344">
        <v>11</v>
      </c>
      <c r="I32" s="345">
        <f t="shared" si="0"/>
        <v>11</v>
      </c>
      <c r="J32" s="346">
        <f t="shared" si="5"/>
        <v>0</v>
      </c>
      <c r="K32" s="347"/>
      <c r="L32" s="345"/>
      <c r="M32" s="345"/>
      <c r="N32" s="345"/>
      <c r="O32" s="345"/>
      <c r="P32" s="345"/>
      <c r="Q32" s="348"/>
      <c r="R32" s="345"/>
      <c r="S32" s="349">
        <f t="shared" si="2"/>
        <v>0</v>
      </c>
      <c r="T32" s="350"/>
      <c r="U32" s="341"/>
      <c r="V32" s="341"/>
      <c r="W32" s="341"/>
      <c r="X32" s="341"/>
      <c r="Y32" s="341"/>
      <c r="Z32" s="341"/>
      <c r="AA32" s="341"/>
      <c r="AB32" s="341"/>
      <c r="AC32" s="341"/>
      <c r="AD32" s="335" t="str">
        <f t="shared" si="3"/>
        <v>BR9071WHSTAIKIEM</v>
      </c>
      <c r="AE32" s="335" t="str">
        <f t="shared" si="4"/>
        <v>BR9071WHS</v>
      </c>
      <c r="AJ32" s="352"/>
    </row>
    <row r="33" spans="1:36" s="336" customFormat="1">
      <c r="A33" s="322">
        <v>46090</v>
      </c>
      <c r="B33" s="323" t="s">
        <v>94</v>
      </c>
      <c r="C33" s="324" t="s">
        <v>165</v>
      </c>
      <c r="D33" s="324" t="str">
        <f>IF(C33=" "," ",VLOOKUP(C33,'Dữ Liệu'!$C$7:$D$134,2,FALSE))</f>
        <v>GUA</v>
      </c>
      <c r="E33" s="324" t="s">
        <v>93</v>
      </c>
      <c r="F33" s="325" t="s">
        <v>161</v>
      </c>
      <c r="G33" s="326" t="s">
        <v>166</v>
      </c>
      <c r="H33" s="327">
        <v>5</v>
      </c>
      <c r="I33" s="328">
        <f t="shared" si="0"/>
        <v>5</v>
      </c>
      <c r="J33" s="329">
        <f t="shared" si="5"/>
        <v>0</v>
      </c>
      <c r="K33" s="330"/>
      <c r="L33" s="328"/>
      <c r="M33" s="328"/>
      <c r="N33" s="328"/>
      <c r="O33" s="328"/>
      <c r="P33" s="328"/>
      <c r="Q33" s="331"/>
      <c r="R33" s="328"/>
      <c r="S33" s="332">
        <f t="shared" si="2"/>
        <v>0</v>
      </c>
      <c r="T33" s="333"/>
      <c r="U33" s="334"/>
      <c r="V33" s="334"/>
      <c r="W33" s="334"/>
      <c r="X33" s="334"/>
      <c r="Y33" s="334"/>
      <c r="Z33" s="334"/>
      <c r="AA33" s="334"/>
      <c r="AB33" s="334"/>
      <c r="AC33" s="334"/>
      <c r="AD33" s="335" t="str">
        <f t="shared" si="3"/>
        <v>BR9071WHMTAIKIEM</v>
      </c>
      <c r="AE33" s="335" t="str">
        <f t="shared" si="4"/>
        <v>BR9071WHM</v>
      </c>
      <c r="AJ33" s="337"/>
    </row>
    <row r="34" spans="1:36" s="336" customFormat="1">
      <c r="A34" s="322">
        <v>46090</v>
      </c>
      <c r="B34" s="323" t="s">
        <v>94</v>
      </c>
      <c r="C34" s="324" t="s">
        <v>165</v>
      </c>
      <c r="D34" s="324" t="str">
        <f>IF(C34=" "," ",VLOOKUP(C34,'Dữ Liệu'!$C$7:$D$134,2,FALSE))</f>
        <v>GUA</v>
      </c>
      <c r="E34" s="324" t="s">
        <v>93</v>
      </c>
      <c r="F34" s="325" t="s">
        <v>161</v>
      </c>
      <c r="G34" s="326" t="s">
        <v>162</v>
      </c>
      <c r="H34" s="327">
        <v>12</v>
      </c>
      <c r="I34" s="328">
        <f t="shared" si="0"/>
        <v>12</v>
      </c>
      <c r="J34" s="329">
        <f t="shared" si="5"/>
        <v>0</v>
      </c>
      <c r="K34" s="330"/>
      <c r="L34" s="328"/>
      <c r="M34" s="328"/>
      <c r="N34" s="328"/>
      <c r="O34" s="328"/>
      <c r="P34" s="328"/>
      <c r="Q34" s="331"/>
      <c r="R34" s="328"/>
      <c r="S34" s="332">
        <f t="shared" si="2"/>
        <v>0</v>
      </c>
      <c r="T34" s="333"/>
      <c r="U34" s="334"/>
      <c r="V34" s="334"/>
      <c r="W34" s="334"/>
      <c r="X34" s="334"/>
      <c r="Y34" s="334"/>
      <c r="Z34" s="334"/>
      <c r="AA34" s="334"/>
      <c r="AB34" s="334"/>
      <c r="AC34" s="334"/>
      <c r="AD34" s="335" t="str">
        <f t="shared" si="3"/>
        <v>BR9071WHLTAIKIEM</v>
      </c>
      <c r="AE34" s="335" t="str">
        <f t="shared" si="4"/>
        <v>BR9071WHL</v>
      </c>
      <c r="AJ34" s="337"/>
    </row>
    <row r="35" spans="1:36" s="336" customFormat="1">
      <c r="A35" s="322">
        <v>46090</v>
      </c>
      <c r="B35" s="323" t="s">
        <v>94</v>
      </c>
      <c r="C35" s="324" t="s">
        <v>165</v>
      </c>
      <c r="D35" s="324" t="str">
        <f>IF(C35=" "," ",VLOOKUP(C35,'Dữ Liệu'!$C$7:$D$134,2,FALSE))</f>
        <v>GUA</v>
      </c>
      <c r="E35" s="324" t="s">
        <v>93</v>
      </c>
      <c r="F35" s="325" t="s">
        <v>161</v>
      </c>
      <c r="G35" s="326" t="s">
        <v>164</v>
      </c>
      <c r="H35" s="327">
        <v>3</v>
      </c>
      <c r="I35" s="328">
        <f t="shared" si="0"/>
        <v>3</v>
      </c>
      <c r="J35" s="329">
        <f t="shared" si="5"/>
        <v>0</v>
      </c>
      <c r="K35" s="330"/>
      <c r="L35" s="328"/>
      <c r="M35" s="328"/>
      <c r="N35" s="328"/>
      <c r="O35" s="328"/>
      <c r="P35" s="328"/>
      <c r="Q35" s="331"/>
      <c r="R35" s="328"/>
      <c r="S35" s="332">
        <f t="shared" si="2"/>
        <v>0</v>
      </c>
      <c r="T35" s="333"/>
      <c r="U35" s="334"/>
      <c r="V35" s="334"/>
      <c r="W35" s="334"/>
      <c r="X35" s="334"/>
      <c r="Y35" s="334"/>
      <c r="Z35" s="334"/>
      <c r="AA35" s="334"/>
      <c r="AB35" s="334"/>
      <c r="AC35" s="334"/>
      <c r="AD35" s="335" t="str">
        <f t="shared" si="3"/>
        <v>BR9071WHLLTAIKIEM</v>
      </c>
      <c r="AE35" s="335" t="str">
        <f t="shared" si="4"/>
        <v>BR9071WHLL</v>
      </c>
      <c r="AJ35" s="337"/>
    </row>
    <row r="36" spans="1:36" s="336" customFormat="1">
      <c r="A36" s="322">
        <v>46090</v>
      </c>
      <c r="B36" s="323" t="s">
        <v>94</v>
      </c>
      <c r="C36" s="324" t="s">
        <v>165</v>
      </c>
      <c r="D36" s="324" t="str">
        <f>IF(C36=" "," ",VLOOKUP(C36,'Dữ Liệu'!$C$7:$D$134,2,FALSE))</f>
        <v>GUA</v>
      </c>
      <c r="E36" s="324" t="s">
        <v>93</v>
      </c>
      <c r="F36" s="325" t="s">
        <v>161</v>
      </c>
      <c r="G36" s="326" t="s">
        <v>172</v>
      </c>
      <c r="H36" s="327">
        <v>1</v>
      </c>
      <c r="I36" s="328">
        <f t="shared" si="0"/>
        <v>1</v>
      </c>
      <c r="J36" s="329">
        <f t="shared" si="5"/>
        <v>0</v>
      </c>
      <c r="K36" s="330"/>
      <c r="L36" s="328"/>
      <c r="M36" s="328"/>
      <c r="N36" s="328"/>
      <c r="O36" s="328"/>
      <c r="P36" s="328"/>
      <c r="Q36" s="331"/>
      <c r="R36" s="328"/>
      <c r="S36" s="332">
        <f t="shared" si="2"/>
        <v>0</v>
      </c>
      <c r="T36" s="333"/>
      <c r="U36" s="334"/>
      <c r="V36" s="334"/>
      <c r="W36" s="334"/>
      <c r="X36" s="334"/>
      <c r="Y36" s="334"/>
      <c r="Z36" s="334"/>
      <c r="AA36" s="334"/>
      <c r="AB36" s="334"/>
      <c r="AC36" s="334"/>
      <c r="AD36" s="335" t="str">
        <f t="shared" si="3"/>
        <v>BR9071WHELTAIKIEM</v>
      </c>
      <c r="AE36" s="335" t="str">
        <f t="shared" si="4"/>
        <v>BR9071WHEL</v>
      </c>
      <c r="AJ36" s="337"/>
    </row>
    <row r="37" spans="1:36" s="336" customFormat="1">
      <c r="A37" s="322">
        <v>46090</v>
      </c>
      <c r="B37" s="323" t="s">
        <v>94</v>
      </c>
      <c r="C37" s="324" t="s">
        <v>165</v>
      </c>
      <c r="D37" s="324" t="str">
        <f>IF(C37=" "," ",VLOOKUP(C37,'Dữ Liệu'!$C$7:$D$134,2,FALSE))</f>
        <v>GUA</v>
      </c>
      <c r="E37" s="324" t="s">
        <v>93</v>
      </c>
      <c r="F37" s="325" t="s">
        <v>161</v>
      </c>
      <c r="G37" s="326" t="s">
        <v>173</v>
      </c>
      <c r="H37" s="327">
        <v>1</v>
      </c>
      <c r="I37" s="328">
        <f t="shared" si="0"/>
        <v>1</v>
      </c>
      <c r="J37" s="329">
        <f t="shared" si="5"/>
        <v>0</v>
      </c>
      <c r="K37" s="330"/>
      <c r="L37" s="328"/>
      <c r="M37" s="328"/>
      <c r="N37" s="328"/>
      <c r="O37" s="328"/>
      <c r="P37" s="328"/>
      <c r="Q37" s="331"/>
      <c r="R37" s="328"/>
      <c r="S37" s="332">
        <f t="shared" si="2"/>
        <v>0</v>
      </c>
      <c r="T37" s="333"/>
      <c r="U37" s="334"/>
      <c r="V37" s="334"/>
      <c r="W37" s="334"/>
      <c r="X37" s="334"/>
      <c r="Y37" s="334"/>
      <c r="Z37" s="334"/>
      <c r="AA37" s="334"/>
      <c r="AB37" s="334"/>
      <c r="AC37" s="334"/>
      <c r="AD37" s="335" t="str">
        <f t="shared" si="3"/>
        <v>BR9071WH4LTAIKIEM</v>
      </c>
      <c r="AE37" s="335" t="str">
        <f t="shared" si="4"/>
        <v>BR9071WH4L</v>
      </c>
      <c r="AJ37" s="337"/>
    </row>
    <row r="38" spans="1:36" s="336" customFormat="1">
      <c r="A38" s="322">
        <v>46090</v>
      </c>
      <c r="B38" s="323" t="s">
        <v>94</v>
      </c>
      <c r="C38" s="324" t="s">
        <v>160</v>
      </c>
      <c r="D38" s="324" t="str">
        <f>IF(C38=" "," ",VLOOKUP(C38,'Dữ Liệu'!$C$7:$D$134,2,FALSE))</f>
        <v>GUA</v>
      </c>
      <c r="E38" s="324" t="s">
        <v>93</v>
      </c>
      <c r="F38" s="325" t="s">
        <v>161</v>
      </c>
      <c r="G38" s="326" t="s">
        <v>164</v>
      </c>
      <c r="H38" s="327">
        <v>1</v>
      </c>
      <c r="I38" s="328">
        <f t="shared" si="0"/>
        <v>1</v>
      </c>
      <c r="J38" s="329">
        <f t="shared" si="5"/>
        <v>0</v>
      </c>
      <c r="K38" s="330"/>
      <c r="L38" s="328"/>
      <c r="M38" s="328"/>
      <c r="N38" s="328"/>
      <c r="O38" s="328"/>
      <c r="P38" s="328"/>
      <c r="Q38" s="331"/>
      <c r="R38" s="328"/>
      <c r="S38" s="332">
        <f t="shared" si="2"/>
        <v>0</v>
      </c>
      <c r="T38" s="333"/>
      <c r="U38" s="334"/>
      <c r="V38" s="334"/>
      <c r="W38" s="334"/>
      <c r="X38" s="334"/>
      <c r="Y38" s="334"/>
      <c r="Z38" s="334"/>
      <c r="AA38" s="334"/>
      <c r="AB38" s="334"/>
      <c r="AC38" s="334"/>
      <c r="AD38" s="335" t="str">
        <f t="shared" si="3"/>
        <v>BR1144WHLLTAIKIEM</v>
      </c>
      <c r="AE38" s="335" t="str">
        <f t="shared" si="4"/>
        <v>BR1144WHLL</v>
      </c>
      <c r="AJ38" s="337"/>
    </row>
    <row r="39" spans="1:36">
      <c r="A39" s="121">
        <v>46091</v>
      </c>
      <c r="B39" s="136" t="s">
        <v>92</v>
      </c>
      <c r="C39" s="123" t="s">
        <v>160</v>
      </c>
      <c r="D39" s="123" t="str">
        <f>IF(C39=" "," ",VLOOKUP(C39,'Dữ Liệu'!$C$7:$D$134,2,FALSE))</f>
        <v>GUA</v>
      </c>
      <c r="E39" s="123" t="s">
        <v>93</v>
      </c>
      <c r="F39" s="126" t="s">
        <v>161</v>
      </c>
      <c r="G39" s="127" t="s">
        <v>174</v>
      </c>
      <c r="H39" s="128">
        <v>15</v>
      </c>
      <c r="I39" s="129">
        <f t="shared" si="0"/>
        <v>14</v>
      </c>
      <c r="J39" s="139">
        <f t="shared" si="5"/>
        <v>1</v>
      </c>
      <c r="K39" s="131"/>
      <c r="L39" s="129"/>
      <c r="M39" s="129"/>
      <c r="N39" s="129"/>
      <c r="O39" s="129">
        <v>1</v>
      </c>
      <c r="P39" s="129"/>
      <c r="Q39" s="132"/>
      <c r="R39" s="129"/>
      <c r="S39" s="133">
        <f t="shared" si="2"/>
        <v>6.6666666666666666E-2</v>
      </c>
      <c r="T39" s="134"/>
      <c r="U39" s="135"/>
      <c r="V39" s="135"/>
      <c r="W39" s="135"/>
      <c r="X39" s="135"/>
      <c r="Y39" s="135"/>
      <c r="Z39" s="135"/>
      <c r="AA39" s="135"/>
      <c r="AB39" s="135"/>
      <c r="AC39" s="135"/>
      <c r="AD39" s="202" t="str">
        <f t="shared" si="3"/>
        <v>BR1144WHSSKIEM</v>
      </c>
      <c r="AE39" s="202" t="str">
        <f t="shared" si="4"/>
        <v>BR1144WHSS</v>
      </c>
    </row>
    <row r="40" spans="1:36">
      <c r="A40" s="121">
        <v>46091</v>
      </c>
      <c r="B40" s="136" t="s">
        <v>92</v>
      </c>
      <c r="C40" s="123" t="s">
        <v>160</v>
      </c>
      <c r="D40" s="123" t="str">
        <f>IF(C40=" "," ",VLOOKUP(C40,'Dữ Liệu'!$C$7:$D$134,2,FALSE))</f>
        <v>GUA</v>
      </c>
      <c r="E40" s="123" t="s">
        <v>93</v>
      </c>
      <c r="F40" s="126" t="s">
        <v>161</v>
      </c>
      <c r="G40" s="127" t="s">
        <v>169</v>
      </c>
      <c r="H40" s="128">
        <v>71</v>
      </c>
      <c r="I40" s="129">
        <f t="shared" si="0"/>
        <v>65</v>
      </c>
      <c r="J40" s="139">
        <f t="shared" si="5"/>
        <v>6</v>
      </c>
      <c r="K40" s="131"/>
      <c r="L40" s="129"/>
      <c r="M40" s="129"/>
      <c r="N40" s="129"/>
      <c r="O40" s="129">
        <v>1</v>
      </c>
      <c r="P40" s="129">
        <v>5</v>
      </c>
      <c r="Q40" s="132"/>
      <c r="R40" s="129"/>
      <c r="S40" s="133">
        <f t="shared" si="2"/>
        <v>8.4507042253521125E-2</v>
      </c>
      <c r="T40" s="134"/>
      <c r="U40" s="135"/>
      <c r="V40" s="135"/>
      <c r="W40" s="135"/>
      <c r="X40" s="135"/>
      <c r="Y40" s="135"/>
      <c r="Z40" s="135"/>
      <c r="AA40" s="135"/>
      <c r="AB40" s="135"/>
      <c r="AC40" s="135"/>
      <c r="AD40" s="202" t="str">
        <f t="shared" si="3"/>
        <v>BR1144WHSKIEM</v>
      </c>
      <c r="AE40" s="202" t="str">
        <f t="shared" si="4"/>
        <v>BR1144WHS</v>
      </c>
    </row>
    <row r="41" spans="1:36">
      <c r="A41" s="121">
        <v>46091</v>
      </c>
      <c r="B41" s="136" t="s">
        <v>92</v>
      </c>
      <c r="C41" s="123" t="s">
        <v>160</v>
      </c>
      <c r="D41" s="123" t="str">
        <f>IF(C41=" "," ",VLOOKUP(C41,'Dữ Liệu'!$C$7:$D$134,2,FALSE))</f>
        <v>GUA</v>
      </c>
      <c r="E41" s="123" t="s">
        <v>93</v>
      </c>
      <c r="F41" s="126" t="s">
        <v>161</v>
      </c>
      <c r="G41" s="127" t="s">
        <v>166</v>
      </c>
      <c r="H41" s="128">
        <v>112</v>
      </c>
      <c r="I41" s="129">
        <f t="shared" si="0"/>
        <v>100</v>
      </c>
      <c r="J41" s="139">
        <f t="shared" si="5"/>
        <v>12</v>
      </c>
      <c r="K41" s="131"/>
      <c r="L41" s="129"/>
      <c r="M41" s="129"/>
      <c r="N41" s="129"/>
      <c r="O41" s="129">
        <v>3</v>
      </c>
      <c r="P41" s="129">
        <v>9</v>
      </c>
      <c r="Q41" s="132"/>
      <c r="R41" s="129"/>
      <c r="S41" s="133">
        <f t="shared" si="2"/>
        <v>0.10714285714285714</v>
      </c>
      <c r="T41" s="134"/>
      <c r="U41" s="135"/>
      <c r="V41" s="135"/>
      <c r="W41" s="135"/>
      <c r="X41" s="135"/>
      <c r="Y41" s="135"/>
      <c r="Z41" s="135"/>
      <c r="AA41" s="135"/>
      <c r="AB41" s="135"/>
      <c r="AC41" s="135"/>
      <c r="AD41" s="202" t="str">
        <f t="shared" si="3"/>
        <v>BR1144WHMKIEM</v>
      </c>
      <c r="AE41" s="202" t="str">
        <f t="shared" si="4"/>
        <v>BR1144WHM</v>
      </c>
    </row>
    <row r="42" spans="1:36">
      <c r="A42" s="121">
        <v>46091</v>
      </c>
      <c r="B42" s="136" t="s">
        <v>92</v>
      </c>
      <c r="C42" s="123" t="s">
        <v>160</v>
      </c>
      <c r="D42" s="123" t="str">
        <f>IF(C42=" "," ",VLOOKUP(C42,'Dữ Liệu'!$C$7:$D$134,2,FALSE))</f>
        <v>GUA</v>
      </c>
      <c r="E42" s="123" t="s">
        <v>93</v>
      </c>
      <c r="F42" s="126" t="s">
        <v>161</v>
      </c>
      <c r="G42" s="141" t="s">
        <v>162</v>
      </c>
      <c r="H42" s="128">
        <v>7</v>
      </c>
      <c r="I42" s="129">
        <f t="shared" si="0"/>
        <v>7</v>
      </c>
      <c r="J42" s="139">
        <f t="shared" si="5"/>
        <v>0</v>
      </c>
      <c r="K42" s="131"/>
      <c r="L42" s="129"/>
      <c r="M42" s="129"/>
      <c r="N42" s="129"/>
      <c r="O42" s="129"/>
      <c r="P42" s="129"/>
      <c r="Q42" s="132"/>
      <c r="R42" s="129"/>
      <c r="S42" s="133">
        <f t="shared" si="2"/>
        <v>0</v>
      </c>
      <c r="T42" s="134"/>
      <c r="U42" s="135"/>
      <c r="V42" s="135"/>
      <c r="W42" s="135"/>
      <c r="X42" s="135"/>
      <c r="Y42" s="135"/>
      <c r="Z42" s="135"/>
      <c r="AA42" s="135"/>
      <c r="AB42" s="135"/>
      <c r="AC42" s="135"/>
      <c r="AD42" s="202" t="str">
        <f t="shared" si="3"/>
        <v>BR1144WHLKIEM</v>
      </c>
      <c r="AE42" s="202" t="str">
        <f t="shared" si="4"/>
        <v>BR1144WHL</v>
      </c>
    </row>
    <row r="43" spans="1:36">
      <c r="A43" s="121">
        <v>46091</v>
      </c>
      <c r="B43" s="136" t="s">
        <v>92</v>
      </c>
      <c r="C43" s="123" t="s">
        <v>160</v>
      </c>
      <c r="D43" s="123" t="str">
        <f>IF(C43=" "," ",VLOOKUP(C43,'Dữ Liệu'!$C$7:$D$134,2,FALSE))</f>
        <v>GUA</v>
      </c>
      <c r="E43" s="123" t="s">
        <v>93</v>
      </c>
      <c r="F43" s="126" t="s">
        <v>161</v>
      </c>
      <c r="G43" s="127" t="s">
        <v>164</v>
      </c>
      <c r="H43" s="128">
        <v>1</v>
      </c>
      <c r="I43" s="129">
        <f t="shared" si="0"/>
        <v>1</v>
      </c>
      <c r="J43" s="139">
        <f t="shared" si="5"/>
        <v>0</v>
      </c>
      <c r="K43" s="131"/>
      <c r="L43" s="129"/>
      <c r="M43" s="129"/>
      <c r="N43" s="129"/>
      <c r="O43" s="129"/>
      <c r="P43" s="129"/>
      <c r="Q43" s="132"/>
      <c r="R43" s="129"/>
      <c r="S43" s="133">
        <f t="shared" si="2"/>
        <v>0</v>
      </c>
      <c r="T43" s="134"/>
      <c r="U43" s="135"/>
      <c r="V43" s="135"/>
      <c r="W43" s="135"/>
      <c r="X43" s="135"/>
      <c r="Y43" s="135"/>
      <c r="Z43" s="135"/>
      <c r="AA43" s="135"/>
      <c r="AB43" s="135"/>
      <c r="AC43" s="135"/>
      <c r="AD43" s="202" t="str">
        <f t="shared" si="3"/>
        <v>BR1144WHLLKIEM</v>
      </c>
      <c r="AE43" s="202" t="str">
        <f t="shared" si="4"/>
        <v>BR1144WHLL</v>
      </c>
    </row>
    <row r="44" spans="1:36">
      <c r="A44" s="121">
        <v>46091</v>
      </c>
      <c r="B44" s="136" t="s">
        <v>92</v>
      </c>
      <c r="C44" s="123" t="s">
        <v>160</v>
      </c>
      <c r="D44" s="123" t="str">
        <f>IF(C44=" "," ",VLOOKUP(C44,'Dữ Liệu'!$C$7:$D$134,2,FALSE))</f>
        <v>GUA</v>
      </c>
      <c r="E44" s="123" t="s">
        <v>93</v>
      </c>
      <c r="F44" s="126" t="s">
        <v>161</v>
      </c>
      <c r="G44" s="127" t="s">
        <v>172</v>
      </c>
      <c r="H44" s="128">
        <v>51</v>
      </c>
      <c r="I44" s="129">
        <f t="shared" si="0"/>
        <v>48</v>
      </c>
      <c r="J44" s="139">
        <f t="shared" si="5"/>
        <v>3</v>
      </c>
      <c r="K44" s="131"/>
      <c r="L44" s="129"/>
      <c r="M44" s="129"/>
      <c r="N44" s="129"/>
      <c r="O44" s="129"/>
      <c r="P44" s="129">
        <v>3</v>
      </c>
      <c r="Q44" s="132"/>
      <c r="R44" s="129"/>
      <c r="S44" s="133">
        <f t="shared" si="2"/>
        <v>5.8823529411764705E-2</v>
      </c>
      <c r="T44" s="134"/>
      <c r="U44" s="135"/>
      <c r="V44" s="135"/>
      <c r="W44" s="135"/>
      <c r="X44" s="135"/>
      <c r="Y44" s="135"/>
      <c r="Z44" s="135"/>
      <c r="AA44" s="135"/>
      <c r="AB44" s="135"/>
      <c r="AC44" s="135"/>
      <c r="AD44" s="202" t="str">
        <f t="shared" si="3"/>
        <v>BR1144WHELKIEM</v>
      </c>
      <c r="AE44" s="202" t="str">
        <f t="shared" si="4"/>
        <v>BR1144WHEL</v>
      </c>
    </row>
    <row r="45" spans="1:36">
      <c r="A45" s="121">
        <v>46091</v>
      </c>
      <c r="B45" s="136" t="s">
        <v>92</v>
      </c>
      <c r="C45" s="123" t="s">
        <v>160</v>
      </c>
      <c r="D45" s="123" t="str">
        <f>IF(C45=" "," ",VLOOKUP(C45,'Dữ Liệu'!$C$7:$D$134,2,FALSE))</f>
        <v>GUA</v>
      </c>
      <c r="E45" s="123" t="s">
        <v>93</v>
      </c>
      <c r="F45" s="126" t="s">
        <v>161</v>
      </c>
      <c r="G45" s="127" t="s">
        <v>173</v>
      </c>
      <c r="H45" s="128">
        <v>30</v>
      </c>
      <c r="I45" s="129">
        <f t="shared" si="0"/>
        <v>28</v>
      </c>
      <c r="J45" s="139">
        <f t="shared" si="5"/>
        <v>2</v>
      </c>
      <c r="K45" s="131"/>
      <c r="L45" s="129"/>
      <c r="M45" s="129"/>
      <c r="N45" s="129"/>
      <c r="O45" s="129">
        <v>1</v>
      </c>
      <c r="P45" s="129">
        <v>1</v>
      </c>
      <c r="Q45" s="132"/>
      <c r="R45" s="129"/>
      <c r="S45" s="133">
        <f t="shared" si="2"/>
        <v>6.6666666666666666E-2</v>
      </c>
      <c r="T45" s="134"/>
      <c r="U45" s="135"/>
      <c r="V45" s="135"/>
      <c r="W45" s="135"/>
      <c r="X45" s="135"/>
      <c r="Y45" s="135"/>
      <c r="Z45" s="135"/>
      <c r="AA45" s="135"/>
      <c r="AB45" s="135"/>
      <c r="AC45" s="135"/>
      <c r="AD45" s="202" t="str">
        <f t="shared" si="3"/>
        <v>BR1144WH4LKIEM</v>
      </c>
      <c r="AE45" s="202" t="str">
        <f t="shared" si="4"/>
        <v>BR1144WH4L</v>
      </c>
    </row>
    <row r="46" spans="1:36">
      <c r="A46" s="121">
        <v>46091</v>
      </c>
      <c r="B46" s="136" t="s">
        <v>92</v>
      </c>
      <c r="C46" s="123" t="s">
        <v>160</v>
      </c>
      <c r="D46" s="123" t="str">
        <f>IF(C46=" "," ",VLOOKUP(C46,'Dữ Liệu'!$C$7:$D$134,2,FALSE))</f>
        <v>GUA</v>
      </c>
      <c r="E46" s="123" t="s">
        <v>93</v>
      </c>
      <c r="F46" s="126" t="s">
        <v>161</v>
      </c>
      <c r="G46" s="127" t="s">
        <v>175</v>
      </c>
      <c r="H46" s="128">
        <v>10</v>
      </c>
      <c r="I46" s="129">
        <f t="shared" si="0"/>
        <v>9</v>
      </c>
      <c r="J46" s="139">
        <f t="shared" si="5"/>
        <v>1</v>
      </c>
      <c r="K46" s="131"/>
      <c r="L46" s="129"/>
      <c r="M46" s="129"/>
      <c r="N46" s="129"/>
      <c r="O46" s="129">
        <v>1</v>
      </c>
      <c r="P46" s="129"/>
      <c r="Q46" s="132"/>
      <c r="R46" s="129"/>
      <c r="S46" s="133">
        <f t="shared" si="2"/>
        <v>0.1</v>
      </c>
      <c r="T46" s="134"/>
      <c r="U46" s="135"/>
      <c r="V46" s="135"/>
      <c r="W46" s="135"/>
      <c r="X46" s="135"/>
      <c r="Y46" s="135"/>
      <c r="Z46" s="135"/>
      <c r="AA46" s="135"/>
      <c r="AB46" s="135"/>
      <c r="AC46" s="135"/>
      <c r="AD46" s="202" t="str">
        <f t="shared" si="3"/>
        <v>BR1144WH5LKIEM</v>
      </c>
      <c r="AE46" s="202" t="str">
        <f t="shared" si="4"/>
        <v>BR1144WH5L</v>
      </c>
    </row>
    <row r="47" spans="1:36">
      <c r="A47" s="121">
        <v>46091</v>
      </c>
      <c r="B47" s="136" t="s">
        <v>92</v>
      </c>
      <c r="C47" s="123" t="s">
        <v>160</v>
      </c>
      <c r="D47" s="123" t="str">
        <f>IF(C47=" "," ",VLOOKUP(C47,'Dữ Liệu'!$C$7:$D$134,2,FALSE))</f>
        <v>GUA</v>
      </c>
      <c r="E47" s="123" t="s">
        <v>93</v>
      </c>
      <c r="F47" s="126" t="s">
        <v>161</v>
      </c>
      <c r="G47" s="127" t="s">
        <v>176</v>
      </c>
      <c r="H47" s="128">
        <v>10</v>
      </c>
      <c r="I47" s="129">
        <f t="shared" si="0"/>
        <v>9</v>
      </c>
      <c r="J47" s="139">
        <f t="shared" si="5"/>
        <v>1</v>
      </c>
      <c r="K47" s="131"/>
      <c r="L47" s="129"/>
      <c r="M47" s="129"/>
      <c r="N47" s="129"/>
      <c r="O47" s="129"/>
      <c r="P47" s="129">
        <v>1</v>
      </c>
      <c r="Q47" s="132"/>
      <c r="R47" s="129"/>
      <c r="S47" s="133">
        <f t="shared" si="2"/>
        <v>0.1</v>
      </c>
      <c r="T47" s="134"/>
      <c r="U47" s="135"/>
      <c r="V47" s="135"/>
      <c r="W47" s="135"/>
      <c r="X47" s="135"/>
      <c r="Y47" s="135"/>
      <c r="Z47" s="135"/>
      <c r="AA47" s="135"/>
      <c r="AB47" s="135"/>
      <c r="AC47" s="135"/>
      <c r="AD47" s="202" t="str">
        <f t="shared" si="3"/>
        <v>BR1144WH6LKIEM</v>
      </c>
      <c r="AE47" s="202" t="str">
        <f t="shared" si="4"/>
        <v>BR1144WH6L</v>
      </c>
    </row>
    <row r="48" spans="1:36">
      <c r="A48" s="121">
        <v>46091</v>
      </c>
      <c r="B48" s="136" t="s">
        <v>92</v>
      </c>
      <c r="C48" s="123" t="s">
        <v>165</v>
      </c>
      <c r="D48" s="123" t="str">
        <f>IF(C48=" "," ",VLOOKUP(C48,'Dữ Liệu'!$C$7:$D$134,2,FALSE))</f>
        <v>GUA</v>
      </c>
      <c r="E48" s="123" t="s">
        <v>93</v>
      </c>
      <c r="F48" s="126" t="s">
        <v>161</v>
      </c>
      <c r="G48" s="143" t="s">
        <v>169</v>
      </c>
      <c r="H48" s="128">
        <v>1</v>
      </c>
      <c r="I48" s="129">
        <f t="shared" si="0"/>
        <v>1</v>
      </c>
      <c r="J48" s="139">
        <f t="shared" si="5"/>
        <v>0</v>
      </c>
      <c r="K48" s="131"/>
      <c r="L48" s="129"/>
      <c r="M48" s="129"/>
      <c r="N48" s="129"/>
      <c r="O48" s="129"/>
      <c r="P48" s="129"/>
      <c r="Q48" s="132"/>
      <c r="R48" s="129"/>
      <c r="S48" s="133">
        <f t="shared" si="2"/>
        <v>0</v>
      </c>
      <c r="T48" s="134"/>
      <c r="U48" s="135"/>
      <c r="V48" s="135"/>
      <c r="W48" s="135"/>
      <c r="X48" s="135"/>
      <c r="Y48" s="135"/>
      <c r="Z48" s="135"/>
      <c r="AA48" s="135"/>
      <c r="AB48" s="135"/>
      <c r="AC48" s="135"/>
      <c r="AD48" s="202" t="str">
        <f t="shared" si="3"/>
        <v>BR9071WHSKIEM</v>
      </c>
      <c r="AE48" s="202" t="str">
        <f t="shared" si="4"/>
        <v>BR9071WHS</v>
      </c>
    </row>
    <row r="49" spans="1:31">
      <c r="A49" s="121">
        <v>46091</v>
      </c>
      <c r="B49" s="136" t="s">
        <v>92</v>
      </c>
      <c r="C49" s="123" t="s">
        <v>165</v>
      </c>
      <c r="D49" s="123" t="str">
        <f>IF(C49=" "," ",VLOOKUP(C49,'Dữ Liệu'!$C$7:$D$134,2,FALSE))</f>
        <v>GUA</v>
      </c>
      <c r="E49" s="123" t="s">
        <v>93</v>
      </c>
      <c r="F49" s="126" t="s">
        <v>161</v>
      </c>
      <c r="G49" s="144" t="s">
        <v>166</v>
      </c>
      <c r="H49" s="128">
        <v>2</v>
      </c>
      <c r="I49" s="129">
        <f t="shared" si="0"/>
        <v>2</v>
      </c>
      <c r="J49" s="139">
        <f t="shared" si="5"/>
        <v>0</v>
      </c>
      <c r="K49" s="131"/>
      <c r="L49" s="129"/>
      <c r="M49" s="129"/>
      <c r="N49" s="129"/>
      <c r="O49" s="129"/>
      <c r="P49" s="129"/>
      <c r="Q49" s="132"/>
      <c r="R49" s="129"/>
      <c r="S49" s="133">
        <f t="shared" si="2"/>
        <v>0</v>
      </c>
      <c r="T49" s="134"/>
      <c r="U49" s="135"/>
      <c r="V49" s="135"/>
      <c r="W49" s="135"/>
      <c r="X49" s="135"/>
      <c r="Y49" s="135"/>
      <c r="Z49" s="135"/>
      <c r="AA49" s="135"/>
      <c r="AB49" s="135"/>
      <c r="AC49" s="135"/>
      <c r="AD49" s="202" t="str">
        <f t="shared" si="3"/>
        <v>BR9071WHMKIEM</v>
      </c>
      <c r="AE49" s="202" t="str">
        <f t="shared" si="4"/>
        <v>BR9071WHM</v>
      </c>
    </row>
    <row r="50" spans="1:31">
      <c r="A50" s="121">
        <v>46091</v>
      </c>
      <c r="B50" s="136" t="s">
        <v>92</v>
      </c>
      <c r="C50" s="123" t="s">
        <v>165</v>
      </c>
      <c r="D50" s="123" t="str">
        <f>IF(C50=" "," ",VLOOKUP(C50,'Dữ Liệu'!$C$7:$D$134,2,FALSE))</f>
        <v>GUA</v>
      </c>
      <c r="E50" s="123" t="s">
        <v>93</v>
      </c>
      <c r="F50" s="126" t="s">
        <v>161</v>
      </c>
      <c r="G50" s="127" t="s">
        <v>162</v>
      </c>
      <c r="H50" s="128">
        <v>1</v>
      </c>
      <c r="I50" s="129">
        <f t="shared" si="0"/>
        <v>1</v>
      </c>
      <c r="J50" s="139">
        <f t="shared" si="5"/>
        <v>0</v>
      </c>
      <c r="K50" s="131"/>
      <c r="L50" s="129"/>
      <c r="M50" s="129"/>
      <c r="N50" s="129"/>
      <c r="O50" s="129"/>
      <c r="P50" s="129"/>
      <c r="Q50" s="132"/>
      <c r="R50" s="129"/>
      <c r="S50" s="133">
        <f t="shared" si="2"/>
        <v>0</v>
      </c>
      <c r="T50" s="134"/>
      <c r="U50" s="135"/>
      <c r="V50" s="135"/>
      <c r="W50" s="135"/>
      <c r="X50" s="135"/>
      <c r="Y50" s="135"/>
      <c r="Z50" s="135"/>
      <c r="AA50" s="135"/>
      <c r="AB50" s="135"/>
      <c r="AC50" s="135"/>
      <c r="AD50" s="202" t="str">
        <f t="shared" si="3"/>
        <v>BR9071WHLKIEM</v>
      </c>
      <c r="AE50" s="202" t="str">
        <f t="shared" si="4"/>
        <v>BR9071WHL</v>
      </c>
    </row>
    <row r="51" spans="1:31">
      <c r="A51" s="121">
        <v>46091</v>
      </c>
      <c r="B51" s="136" t="s">
        <v>92</v>
      </c>
      <c r="C51" s="123" t="s">
        <v>165</v>
      </c>
      <c r="D51" s="123" t="str">
        <f>IF(C51=" "," ",VLOOKUP(C51,'Dữ Liệu'!$C$7:$D$134,2,FALSE))</f>
        <v>GUA</v>
      </c>
      <c r="E51" s="123" t="s">
        <v>93</v>
      </c>
      <c r="F51" s="126" t="s">
        <v>161</v>
      </c>
      <c r="G51" s="127" t="s">
        <v>164</v>
      </c>
      <c r="H51" s="128">
        <v>1</v>
      </c>
      <c r="I51" s="129">
        <f t="shared" si="0"/>
        <v>1</v>
      </c>
      <c r="J51" s="139">
        <f t="shared" si="5"/>
        <v>0</v>
      </c>
      <c r="K51" s="131"/>
      <c r="L51" s="129"/>
      <c r="M51" s="129"/>
      <c r="N51" s="129"/>
      <c r="O51" s="129"/>
      <c r="P51" s="129"/>
      <c r="Q51" s="132"/>
      <c r="R51" s="129"/>
      <c r="S51" s="133">
        <f t="shared" si="2"/>
        <v>0</v>
      </c>
      <c r="T51" s="134"/>
      <c r="U51" s="135"/>
      <c r="V51" s="135"/>
      <c r="W51" s="135"/>
      <c r="X51" s="135"/>
      <c r="Y51" s="135"/>
      <c r="Z51" s="135"/>
      <c r="AA51" s="135"/>
      <c r="AB51" s="135"/>
      <c r="AC51" s="135"/>
      <c r="AD51" s="202" t="str">
        <f t="shared" si="3"/>
        <v>BR9071WHLLKIEM</v>
      </c>
      <c r="AE51" s="202" t="str">
        <f t="shared" si="4"/>
        <v>BR9071WHLL</v>
      </c>
    </row>
    <row r="52" spans="1:31">
      <c r="A52" s="121">
        <v>46091</v>
      </c>
      <c r="B52" s="136" t="s">
        <v>92</v>
      </c>
      <c r="C52" s="123" t="s">
        <v>165</v>
      </c>
      <c r="D52" s="123" t="str">
        <f>IF(C52=" "," ",VLOOKUP(C52,'Dữ Liệu'!$C$7:$D$134,2,FALSE))</f>
        <v>GUA</v>
      </c>
      <c r="E52" s="123" t="s">
        <v>93</v>
      </c>
      <c r="F52" s="126" t="s">
        <v>161</v>
      </c>
      <c r="G52" s="127" t="s">
        <v>172</v>
      </c>
      <c r="H52" s="128">
        <v>2</v>
      </c>
      <c r="I52" s="129">
        <f t="shared" si="0"/>
        <v>1</v>
      </c>
      <c r="J52" s="139">
        <f t="shared" si="5"/>
        <v>1</v>
      </c>
      <c r="K52" s="131"/>
      <c r="L52" s="129"/>
      <c r="M52" s="129"/>
      <c r="N52" s="129"/>
      <c r="O52" s="129">
        <v>1</v>
      </c>
      <c r="P52" s="129"/>
      <c r="Q52" s="132"/>
      <c r="R52" s="129"/>
      <c r="S52" s="133">
        <f t="shared" si="2"/>
        <v>0.5</v>
      </c>
      <c r="T52" s="134"/>
      <c r="U52" s="135"/>
      <c r="V52" s="135"/>
      <c r="W52" s="135"/>
      <c r="X52" s="135"/>
      <c r="Y52" s="135"/>
      <c r="Z52" s="135"/>
      <c r="AA52" s="135"/>
      <c r="AB52" s="135"/>
      <c r="AC52" s="135"/>
      <c r="AD52" s="202" t="str">
        <f t="shared" si="3"/>
        <v>BR9071WHELKIEM</v>
      </c>
      <c r="AE52" s="202" t="str">
        <f t="shared" si="4"/>
        <v>BR9071WHEL</v>
      </c>
    </row>
    <row r="53" spans="1:31">
      <c r="A53" s="121">
        <v>46091</v>
      </c>
      <c r="B53" s="136" t="s">
        <v>94</v>
      </c>
      <c r="C53" s="123" t="s">
        <v>160</v>
      </c>
      <c r="D53" s="123" t="str">
        <f>IF(C53=" "," ",VLOOKUP(C53,'Dữ Liệu'!$C$7:$D$134,2,FALSE))</f>
        <v>GUA</v>
      </c>
      <c r="E53" s="123" t="s">
        <v>93</v>
      </c>
      <c r="F53" s="126" t="s">
        <v>161</v>
      </c>
      <c r="G53" s="127" t="s">
        <v>174</v>
      </c>
      <c r="H53" s="128">
        <v>1</v>
      </c>
      <c r="I53" s="129">
        <f t="shared" si="0"/>
        <v>1</v>
      </c>
      <c r="J53" s="139">
        <f t="shared" si="5"/>
        <v>0</v>
      </c>
      <c r="K53" s="131"/>
      <c r="L53" s="129"/>
      <c r="M53" s="129"/>
      <c r="N53" s="129"/>
      <c r="O53" s="129"/>
      <c r="P53" s="129"/>
      <c r="Q53" s="132"/>
      <c r="R53" s="129"/>
      <c r="S53" s="133">
        <f t="shared" si="2"/>
        <v>0</v>
      </c>
      <c r="T53" s="134"/>
      <c r="U53" s="135"/>
      <c r="V53" s="135"/>
      <c r="W53" s="135"/>
      <c r="X53" s="135"/>
      <c r="Y53" s="135"/>
      <c r="Z53" s="135"/>
      <c r="AA53" s="135"/>
      <c r="AB53" s="135"/>
      <c r="AC53" s="135"/>
      <c r="AD53" s="202" t="str">
        <f t="shared" si="3"/>
        <v>BR1144WHSSTAIKIEM</v>
      </c>
      <c r="AE53" s="202" t="str">
        <f t="shared" si="4"/>
        <v>BR1144WHSS</v>
      </c>
    </row>
    <row r="54" spans="1:31">
      <c r="A54" s="121">
        <v>46091</v>
      </c>
      <c r="B54" s="136" t="s">
        <v>94</v>
      </c>
      <c r="C54" s="123" t="s">
        <v>160</v>
      </c>
      <c r="D54" s="123" t="str">
        <f>IF(C54=" "," ",VLOOKUP(C54,'Dữ Liệu'!$C$7:$D$134,2,FALSE))</f>
        <v>GUA</v>
      </c>
      <c r="E54" s="123" t="s">
        <v>93</v>
      </c>
      <c r="F54" s="126" t="s">
        <v>161</v>
      </c>
      <c r="G54" s="127" t="s">
        <v>169</v>
      </c>
      <c r="H54" s="128">
        <v>6</v>
      </c>
      <c r="I54" s="129">
        <f t="shared" si="0"/>
        <v>6</v>
      </c>
      <c r="J54" s="139">
        <f t="shared" si="5"/>
        <v>0</v>
      </c>
      <c r="K54" s="131"/>
      <c r="L54" s="129"/>
      <c r="M54" s="129"/>
      <c r="N54" s="129"/>
      <c r="O54" s="129"/>
      <c r="P54" s="129"/>
      <c r="Q54" s="132"/>
      <c r="R54" s="129"/>
      <c r="S54" s="133">
        <f t="shared" si="2"/>
        <v>0</v>
      </c>
      <c r="T54" s="134"/>
      <c r="U54" s="135"/>
      <c r="V54" s="135"/>
      <c r="W54" s="135"/>
      <c r="X54" s="135"/>
      <c r="Y54" s="135"/>
      <c r="Z54" s="135"/>
      <c r="AA54" s="135"/>
      <c r="AB54" s="135"/>
      <c r="AC54" s="135"/>
      <c r="AD54" s="202" t="str">
        <f t="shared" si="3"/>
        <v>BR1144WHSTAIKIEM</v>
      </c>
      <c r="AE54" s="202" t="str">
        <f t="shared" si="4"/>
        <v>BR1144WHS</v>
      </c>
    </row>
    <row r="55" spans="1:31">
      <c r="A55" s="121">
        <v>46091</v>
      </c>
      <c r="B55" s="136" t="s">
        <v>94</v>
      </c>
      <c r="C55" s="123" t="s">
        <v>160</v>
      </c>
      <c r="D55" s="123" t="str">
        <f>IF(C55=" "," ",VLOOKUP(C55,'Dữ Liệu'!$C$7:$D$134,2,FALSE))</f>
        <v>GUA</v>
      </c>
      <c r="E55" s="123" t="s">
        <v>93</v>
      </c>
      <c r="F55" s="126" t="s">
        <v>161</v>
      </c>
      <c r="G55" s="127" t="s">
        <v>166</v>
      </c>
      <c r="H55" s="128">
        <v>12</v>
      </c>
      <c r="I55" s="129">
        <f t="shared" si="0"/>
        <v>12</v>
      </c>
      <c r="J55" s="139">
        <f t="shared" si="5"/>
        <v>0</v>
      </c>
      <c r="K55" s="131"/>
      <c r="L55" s="129"/>
      <c r="M55" s="129"/>
      <c r="N55" s="129"/>
      <c r="O55" s="129"/>
      <c r="P55" s="129"/>
      <c r="Q55" s="132"/>
      <c r="R55" s="129"/>
      <c r="S55" s="133">
        <f t="shared" si="2"/>
        <v>0</v>
      </c>
      <c r="T55" s="134"/>
      <c r="U55" s="135"/>
      <c r="V55" s="135"/>
      <c r="W55" s="135"/>
      <c r="X55" s="135"/>
      <c r="Y55" s="135"/>
      <c r="Z55" s="135"/>
      <c r="AA55" s="135"/>
      <c r="AB55" s="135"/>
      <c r="AC55" s="135"/>
      <c r="AD55" s="202" t="str">
        <f t="shared" si="3"/>
        <v>BR1144WHMTAIKIEM</v>
      </c>
      <c r="AE55" s="202" t="str">
        <f t="shared" si="4"/>
        <v>BR1144WHM</v>
      </c>
    </row>
    <row r="56" spans="1:31">
      <c r="A56" s="121">
        <v>46091</v>
      </c>
      <c r="B56" s="136" t="s">
        <v>94</v>
      </c>
      <c r="C56" s="123" t="s">
        <v>160</v>
      </c>
      <c r="D56" s="123" t="str">
        <f>IF(C56=" "," ",VLOOKUP(C56,'Dữ Liệu'!$C$7:$D$134,2,FALSE))</f>
        <v>GUA</v>
      </c>
      <c r="E56" s="123" t="s">
        <v>93</v>
      </c>
      <c r="F56" s="126" t="s">
        <v>161</v>
      </c>
      <c r="G56" s="127" t="s">
        <v>172</v>
      </c>
      <c r="H56" s="128">
        <v>3</v>
      </c>
      <c r="I56" s="129">
        <f t="shared" si="0"/>
        <v>3</v>
      </c>
      <c r="J56" s="139">
        <f t="shared" si="5"/>
        <v>0</v>
      </c>
      <c r="K56" s="131"/>
      <c r="L56" s="129"/>
      <c r="M56" s="129"/>
      <c r="N56" s="129"/>
      <c r="O56" s="129"/>
      <c r="P56" s="129"/>
      <c r="Q56" s="132"/>
      <c r="R56" s="129"/>
      <c r="S56" s="133">
        <f t="shared" si="2"/>
        <v>0</v>
      </c>
      <c r="T56" s="134"/>
      <c r="U56" s="135"/>
      <c r="V56" s="135"/>
      <c r="W56" s="135"/>
      <c r="X56" s="135"/>
      <c r="Y56" s="135"/>
      <c r="Z56" s="135"/>
      <c r="AA56" s="135"/>
      <c r="AB56" s="135"/>
      <c r="AC56" s="135"/>
      <c r="AD56" s="202" t="str">
        <f t="shared" si="3"/>
        <v>BR1144WHELTAIKIEM</v>
      </c>
      <c r="AE56" s="202" t="str">
        <f t="shared" si="4"/>
        <v>BR1144WHEL</v>
      </c>
    </row>
    <row r="57" spans="1:31">
      <c r="A57" s="121">
        <v>46091</v>
      </c>
      <c r="B57" s="136" t="s">
        <v>94</v>
      </c>
      <c r="C57" s="123" t="s">
        <v>160</v>
      </c>
      <c r="D57" s="123" t="str">
        <f>IF(C57=" "," ",VLOOKUP(C57,'Dữ Liệu'!$C$7:$D$134,2,FALSE))</f>
        <v>GUA</v>
      </c>
      <c r="E57" s="123" t="s">
        <v>93</v>
      </c>
      <c r="F57" s="126" t="s">
        <v>161</v>
      </c>
      <c r="G57" s="127" t="s">
        <v>173</v>
      </c>
      <c r="H57" s="128">
        <v>2</v>
      </c>
      <c r="I57" s="129">
        <f t="shared" si="0"/>
        <v>2</v>
      </c>
      <c r="J57" s="139">
        <f t="shared" si="5"/>
        <v>0</v>
      </c>
      <c r="K57" s="131"/>
      <c r="L57" s="129"/>
      <c r="M57" s="129"/>
      <c r="N57" s="129"/>
      <c r="O57" s="129"/>
      <c r="P57" s="129"/>
      <c r="Q57" s="132"/>
      <c r="R57" s="129"/>
      <c r="S57" s="133">
        <f t="shared" si="2"/>
        <v>0</v>
      </c>
      <c r="T57" s="134"/>
      <c r="U57" s="135"/>
      <c r="V57" s="135"/>
      <c r="W57" s="135"/>
      <c r="X57" s="135"/>
      <c r="Y57" s="135"/>
      <c r="Z57" s="135"/>
      <c r="AA57" s="135"/>
      <c r="AB57" s="135"/>
      <c r="AC57" s="135"/>
      <c r="AD57" s="202" t="str">
        <f t="shared" si="3"/>
        <v>BR1144WH4LTAIKIEM</v>
      </c>
      <c r="AE57" s="202" t="str">
        <f t="shared" si="4"/>
        <v>BR1144WH4L</v>
      </c>
    </row>
    <row r="58" spans="1:31">
      <c r="A58" s="121">
        <v>46091</v>
      </c>
      <c r="B58" s="136" t="s">
        <v>94</v>
      </c>
      <c r="C58" s="123" t="s">
        <v>160</v>
      </c>
      <c r="D58" s="123" t="str">
        <f>IF(C58=" "," ",VLOOKUP(C58,'Dữ Liệu'!$C$7:$D$134,2,FALSE))</f>
        <v>GUA</v>
      </c>
      <c r="E58" s="123" t="s">
        <v>93</v>
      </c>
      <c r="F58" s="126" t="s">
        <v>161</v>
      </c>
      <c r="G58" s="141" t="s">
        <v>175</v>
      </c>
      <c r="H58" s="128">
        <v>1</v>
      </c>
      <c r="I58" s="129">
        <f t="shared" si="0"/>
        <v>1</v>
      </c>
      <c r="J58" s="139">
        <f t="shared" si="5"/>
        <v>0</v>
      </c>
      <c r="K58" s="131"/>
      <c r="L58" s="129"/>
      <c r="M58" s="129"/>
      <c r="N58" s="129"/>
      <c r="O58" s="129"/>
      <c r="P58" s="129"/>
      <c r="Q58" s="132"/>
      <c r="R58" s="129"/>
      <c r="S58" s="133">
        <f t="shared" si="2"/>
        <v>0</v>
      </c>
      <c r="T58" s="134"/>
      <c r="U58" s="135"/>
      <c r="V58" s="135"/>
      <c r="W58" s="135"/>
      <c r="X58" s="135"/>
      <c r="Y58" s="135"/>
      <c r="Z58" s="135"/>
      <c r="AA58" s="135"/>
      <c r="AB58" s="135"/>
      <c r="AC58" s="135"/>
      <c r="AD58" s="202" t="str">
        <f t="shared" si="3"/>
        <v>BR1144WH5LTAIKIEM</v>
      </c>
      <c r="AE58" s="202" t="str">
        <f t="shared" si="4"/>
        <v>BR1144WH5L</v>
      </c>
    </row>
    <row r="59" spans="1:31">
      <c r="A59" s="121">
        <v>46091</v>
      </c>
      <c r="B59" s="136" t="s">
        <v>94</v>
      </c>
      <c r="C59" s="123" t="s">
        <v>160</v>
      </c>
      <c r="D59" s="123" t="str">
        <f>IF(C59=" "," ",VLOOKUP(C59,'Dữ Liệu'!$C$7:$D$134,2,FALSE))</f>
        <v>GUA</v>
      </c>
      <c r="E59" s="123" t="s">
        <v>93</v>
      </c>
      <c r="F59" s="126" t="s">
        <v>161</v>
      </c>
      <c r="G59" s="127" t="s">
        <v>176</v>
      </c>
      <c r="H59" s="128">
        <v>1</v>
      </c>
      <c r="I59" s="129">
        <f t="shared" si="0"/>
        <v>1</v>
      </c>
      <c r="J59" s="139">
        <f t="shared" si="5"/>
        <v>0</v>
      </c>
      <c r="K59" s="131"/>
      <c r="L59" s="129"/>
      <c r="M59" s="129"/>
      <c r="N59" s="129"/>
      <c r="O59" s="129"/>
      <c r="P59" s="129"/>
      <c r="Q59" s="132"/>
      <c r="R59" s="129"/>
      <c r="S59" s="133">
        <f t="shared" si="2"/>
        <v>0</v>
      </c>
      <c r="T59" s="134"/>
      <c r="U59" s="135"/>
      <c r="V59" s="135"/>
      <c r="W59" s="135"/>
      <c r="X59" s="135"/>
      <c r="Y59" s="135"/>
      <c r="Z59" s="135"/>
      <c r="AA59" s="135"/>
      <c r="AB59" s="135"/>
      <c r="AC59" s="135"/>
      <c r="AD59" s="202" t="str">
        <f t="shared" si="3"/>
        <v>BR1144WH6LTAIKIEM</v>
      </c>
      <c r="AE59" s="202" t="str">
        <f t="shared" si="4"/>
        <v>BR1144WH6L</v>
      </c>
    </row>
    <row r="60" spans="1:31">
      <c r="A60" s="121">
        <v>46091</v>
      </c>
      <c r="B60" s="136" t="s">
        <v>94</v>
      </c>
      <c r="C60" s="123" t="s">
        <v>165</v>
      </c>
      <c r="D60" s="123" t="str">
        <f>IF(C60=" "," ",VLOOKUP(C60,'Dữ Liệu'!$C$7:$D$134,2,FALSE))</f>
        <v>GUA</v>
      </c>
      <c r="E60" s="123" t="s">
        <v>93</v>
      </c>
      <c r="F60" s="126" t="s">
        <v>161</v>
      </c>
      <c r="G60" s="127" t="s">
        <v>172</v>
      </c>
      <c r="H60" s="128">
        <v>1</v>
      </c>
      <c r="I60" s="129">
        <f t="shared" si="0"/>
        <v>1</v>
      </c>
      <c r="J60" s="139">
        <f t="shared" si="5"/>
        <v>0</v>
      </c>
      <c r="K60" s="131"/>
      <c r="L60" s="129"/>
      <c r="M60" s="129"/>
      <c r="N60" s="129"/>
      <c r="O60" s="129"/>
      <c r="P60" s="129"/>
      <c r="Q60" s="132"/>
      <c r="R60" s="129"/>
      <c r="S60" s="133">
        <f t="shared" si="2"/>
        <v>0</v>
      </c>
      <c r="T60" s="134"/>
      <c r="U60" s="135"/>
      <c r="V60" s="135"/>
      <c r="W60" s="135"/>
      <c r="X60" s="135"/>
      <c r="Y60" s="135"/>
      <c r="Z60" s="135"/>
      <c r="AA60" s="135"/>
      <c r="AB60" s="135"/>
      <c r="AC60" s="135"/>
      <c r="AD60" s="202" t="str">
        <f t="shared" si="3"/>
        <v>BR9071WHELTAIKIEM</v>
      </c>
      <c r="AE60" s="202" t="str">
        <f t="shared" si="4"/>
        <v>BR9071WHEL</v>
      </c>
    </row>
    <row r="61" spans="1:31">
      <c r="A61" s="121">
        <v>46091</v>
      </c>
      <c r="B61" s="136" t="s">
        <v>92</v>
      </c>
      <c r="C61" s="123" t="s">
        <v>167</v>
      </c>
      <c r="D61" s="123" t="str">
        <f>IF(C61=" "," ",VLOOKUP(C61,'Dữ Liệu'!$C$7:$D$134,2,FALSE))</f>
        <v>GUA</v>
      </c>
      <c r="E61" s="123" t="s">
        <v>93</v>
      </c>
      <c r="F61" s="126" t="s">
        <v>161</v>
      </c>
      <c r="G61" s="127" t="s">
        <v>174</v>
      </c>
      <c r="H61" s="128">
        <v>20</v>
      </c>
      <c r="I61" s="129">
        <f t="shared" si="0"/>
        <v>18</v>
      </c>
      <c r="J61" s="139">
        <f t="shared" si="5"/>
        <v>2</v>
      </c>
      <c r="K61" s="131"/>
      <c r="L61" s="129"/>
      <c r="M61" s="129"/>
      <c r="N61" s="129"/>
      <c r="O61" s="129"/>
      <c r="P61" s="129">
        <v>2</v>
      </c>
      <c r="Q61" s="132"/>
      <c r="R61" s="129"/>
      <c r="S61" s="133">
        <f t="shared" si="2"/>
        <v>0.1</v>
      </c>
      <c r="T61" s="134"/>
      <c r="U61" s="135"/>
      <c r="V61" s="135"/>
      <c r="W61" s="135"/>
      <c r="X61" s="135"/>
      <c r="Y61" s="135"/>
      <c r="Z61" s="135"/>
      <c r="AA61" s="135"/>
      <c r="AB61" s="135"/>
      <c r="AC61" s="135"/>
      <c r="AD61" s="202" t="str">
        <f t="shared" si="3"/>
        <v>HS8078WHSSKIEM</v>
      </c>
      <c r="AE61" s="202" t="str">
        <f t="shared" si="4"/>
        <v>HS8078WHSS</v>
      </c>
    </row>
    <row r="62" spans="1:31">
      <c r="A62" s="121">
        <v>46091</v>
      </c>
      <c r="B62" s="136" t="s">
        <v>92</v>
      </c>
      <c r="C62" s="123" t="s">
        <v>167</v>
      </c>
      <c r="D62" s="123" t="str">
        <f>IF(C62=" "," ",VLOOKUP(C62,'Dữ Liệu'!$C$7:$D$134,2,FALSE))</f>
        <v>GUA</v>
      </c>
      <c r="E62" s="123" t="s">
        <v>93</v>
      </c>
      <c r="F62" s="126" t="s">
        <v>161</v>
      </c>
      <c r="G62" s="127" t="s">
        <v>169</v>
      </c>
      <c r="H62" s="128">
        <v>70</v>
      </c>
      <c r="I62" s="129">
        <f t="shared" si="0"/>
        <v>64</v>
      </c>
      <c r="J62" s="139">
        <f t="shared" si="5"/>
        <v>6</v>
      </c>
      <c r="K62" s="131"/>
      <c r="L62" s="129"/>
      <c r="M62" s="129"/>
      <c r="N62" s="129"/>
      <c r="O62" s="129">
        <v>1</v>
      </c>
      <c r="P62" s="129">
        <v>5</v>
      </c>
      <c r="Q62" s="132"/>
      <c r="R62" s="129"/>
      <c r="S62" s="133">
        <f t="shared" si="2"/>
        <v>8.5714285714285715E-2</v>
      </c>
      <c r="T62" s="134"/>
      <c r="U62" s="135"/>
      <c r="V62" s="135"/>
      <c r="W62" s="135"/>
      <c r="X62" s="135"/>
      <c r="Y62" s="135"/>
      <c r="Z62" s="135"/>
      <c r="AA62" s="135"/>
      <c r="AB62" s="135"/>
      <c r="AC62" s="135"/>
      <c r="AD62" s="202" t="str">
        <f t="shared" si="3"/>
        <v>HS8078WHSKIEM</v>
      </c>
      <c r="AE62" s="202" t="str">
        <f t="shared" si="4"/>
        <v>HS8078WHS</v>
      </c>
    </row>
    <row r="63" spans="1:31">
      <c r="A63" s="121">
        <v>46091</v>
      </c>
      <c r="B63" s="136" t="s">
        <v>92</v>
      </c>
      <c r="C63" s="123" t="s">
        <v>167</v>
      </c>
      <c r="D63" s="123" t="str">
        <f>IF(C63=" "," ",VLOOKUP(C63,'Dữ Liệu'!$C$7:$D$134,2,FALSE))</f>
        <v>GUA</v>
      </c>
      <c r="E63" s="123" t="s">
        <v>93</v>
      </c>
      <c r="F63" s="126" t="s">
        <v>161</v>
      </c>
      <c r="G63" s="127" t="s">
        <v>166</v>
      </c>
      <c r="H63" s="128">
        <v>40</v>
      </c>
      <c r="I63" s="129">
        <f t="shared" si="0"/>
        <v>36</v>
      </c>
      <c r="J63" s="139">
        <f t="shared" si="5"/>
        <v>4</v>
      </c>
      <c r="K63" s="131"/>
      <c r="L63" s="129"/>
      <c r="M63" s="129"/>
      <c r="N63" s="129"/>
      <c r="O63" s="129">
        <v>1</v>
      </c>
      <c r="P63" s="129">
        <v>3</v>
      </c>
      <c r="Q63" s="132"/>
      <c r="R63" s="129"/>
      <c r="S63" s="133">
        <f t="shared" si="2"/>
        <v>0.1</v>
      </c>
      <c r="T63" s="134"/>
      <c r="U63" s="135"/>
      <c r="V63" s="135"/>
      <c r="W63" s="135"/>
      <c r="X63" s="135"/>
      <c r="Y63" s="135"/>
      <c r="Z63" s="135"/>
      <c r="AA63" s="135"/>
      <c r="AB63" s="135"/>
      <c r="AC63" s="135"/>
      <c r="AD63" s="202" t="str">
        <f t="shared" si="3"/>
        <v>HS8078WHMKIEM</v>
      </c>
      <c r="AE63" s="202" t="str">
        <f t="shared" si="4"/>
        <v>HS8078WHM</v>
      </c>
    </row>
    <row r="64" spans="1:31">
      <c r="A64" s="121">
        <v>46091</v>
      </c>
      <c r="B64" s="136" t="s">
        <v>92</v>
      </c>
      <c r="C64" s="123" t="s">
        <v>167</v>
      </c>
      <c r="D64" s="123" t="str">
        <f>IF(C64=" "," ",VLOOKUP(C64,'Dữ Liệu'!$C$7:$D$134,2,FALSE))</f>
        <v>GUA</v>
      </c>
      <c r="E64" s="123" t="s">
        <v>93</v>
      </c>
      <c r="F64" s="126" t="s">
        <v>161</v>
      </c>
      <c r="G64" s="143" t="s">
        <v>162</v>
      </c>
      <c r="H64" s="128">
        <v>19</v>
      </c>
      <c r="I64" s="129">
        <f t="shared" si="0"/>
        <v>17</v>
      </c>
      <c r="J64" s="139">
        <f t="shared" si="5"/>
        <v>2</v>
      </c>
      <c r="K64" s="131"/>
      <c r="L64" s="129"/>
      <c r="M64" s="129"/>
      <c r="N64" s="129"/>
      <c r="O64" s="129">
        <v>1</v>
      </c>
      <c r="P64" s="129">
        <v>1</v>
      </c>
      <c r="Q64" s="132"/>
      <c r="R64" s="129"/>
      <c r="S64" s="133">
        <f t="shared" si="2"/>
        <v>0.10526315789473684</v>
      </c>
      <c r="T64" s="134"/>
      <c r="U64" s="135"/>
      <c r="V64" s="135"/>
      <c r="W64" s="135"/>
      <c r="X64" s="135"/>
      <c r="Y64" s="135"/>
      <c r="Z64" s="135"/>
      <c r="AA64" s="135"/>
      <c r="AB64" s="135"/>
      <c r="AC64" s="135"/>
      <c r="AD64" s="202" t="str">
        <f t="shared" si="3"/>
        <v>HS8078WHLKIEM</v>
      </c>
      <c r="AE64" s="202" t="str">
        <f t="shared" si="4"/>
        <v>HS8078WHL</v>
      </c>
    </row>
    <row r="65" spans="1:34">
      <c r="A65" s="121">
        <v>46091</v>
      </c>
      <c r="B65" s="136" t="s">
        <v>92</v>
      </c>
      <c r="C65" s="123" t="s">
        <v>167</v>
      </c>
      <c r="D65" s="123" t="str">
        <f>IF(C65=" "," ",VLOOKUP(C65,'Dữ Liệu'!$C$7:$D$134,2,FALSE))</f>
        <v>GUA</v>
      </c>
      <c r="E65" s="123" t="s">
        <v>93</v>
      </c>
      <c r="F65" s="126" t="s">
        <v>161</v>
      </c>
      <c r="G65" s="143" t="s">
        <v>164</v>
      </c>
      <c r="H65" s="128">
        <v>24</v>
      </c>
      <c r="I65" s="129">
        <f t="shared" ref="I65:I148" si="6">H65-J65</f>
        <v>22</v>
      </c>
      <c r="J65" s="139">
        <f t="shared" ref="J65:J148" si="7">SUM(K65:Q65)</f>
        <v>2</v>
      </c>
      <c r="K65" s="131"/>
      <c r="L65" s="129"/>
      <c r="M65" s="129"/>
      <c r="N65" s="129"/>
      <c r="O65" s="129"/>
      <c r="P65" s="129">
        <v>2</v>
      </c>
      <c r="Q65" s="132"/>
      <c r="R65" s="129"/>
      <c r="S65" s="133">
        <f t="shared" ref="S65:S148" si="8">J65/H65</f>
        <v>8.3333333333333329E-2</v>
      </c>
      <c r="T65" s="134"/>
      <c r="U65" s="135"/>
      <c r="V65" s="135"/>
      <c r="W65" s="135"/>
      <c r="X65" s="135"/>
      <c r="Y65" s="135"/>
      <c r="Z65" s="135"/>
      <c r="AA65" s="135"/>
      <c r="AB65" s="135"/>
      <c r="AC65" s="135"/>
      <c r="AD65" s="202" t="str">
        <f t="shared" si="3"/>
        <v>HS8078WHLLKIEM</v>
      </c>
      <c r="AE65" s="202" t="str">
        <f t="shared" si="4"/>
        <v>HS8078WHLL</v>
      </c>
    </row>
    <row r="66" spans="1:34">
      <c r="A66" s="121">
        <v>46091</v>
      </c>
      <c r="B66" s="136" t="s">
        <v>92</v>
      </c>
      <c r="C66" s="123" t="s">
        <v>167</v>
      </c>
      <c r="D66" s="123" t="str">
        <f>IF(C66=" "," ",VLOOKUP(C66,'Dữ Liệu'!$C$7:$D$134,2,FALSE))</f>
        <v>GUA</v>
      </c>
      <c r="E66" s="123" t="s">
        <v>93</v>
      </c>
      <c r="F66" s="126" t="s">
        <v>161</v>
      </c>
      <c r="G66" s="127" t="s">
        <v>177</v>
      </c>
      <c r="H66" s="128">
        <v>30</v>
      </c>
      <c r="I66" s="129">
        <f t="shared" si="6"/>
        <v>27</v>
      </c>
      <c r="J66" s="139">
        <f t="shared" si="7"/>
        <v>3</v>
      </c>
      <c r="K66" s="131"/>
      <c r="L66" s="129"/>
      <c r="M66" s="129"/>
      <c r="N66" s="129"/>
      <c r="O66" s="129">
        <v>1</v>
      </c>
      <c r="P66" s="129">
        <v>2</v>
      </c>
      <c r="Q66" s="132"/>
      <c r="R66" s="129"/>
      <c r="S66" s="133">
        <f t="shared" si="8"/>
        <v>0.1</v>
      </c>
      <c r="T66" s="134"/>
      <c r="U66" s="135"/>
      <c r="V66" s="135"/>
      <c r="W66" s="135"/>
      <c r="X66" s="135"/>
      <c r="Y66" s="135"/>
      <c r="Z66" s="135"/>
      <c r="AA66" s="135"/>
      <c r="AB66" s="135"/>
      <c r="AC66" s="135"/>
      <c r="AD66" s="202" t="str">
        <f t="shared" si="3"/>
        <v>HS8078WHBLKIEM</v>
      </c>
      <c r="AE66" s="202" t="str">
        <f t="shared" si="4"/>
        <v>HS8078WHBL</v>
      </c>
    </row>
    <row r="67" spans="1:34">
      <c r="A67" s="121">
        <v>46091</v>
      </c>
      <c r="B67" s="136" t="s">
        <v>92</v>
      </c>
      <c r="C67" s="123" t="s">
        <v>167</v>
      </c>
      <c r="D67" s="123" t="str">
        <f>IF(C67=" "," ",VLOOKUP(C67,'Dữ Liệu'!$C$7:$D$134,2,FALSE))</f>
        <v>GUA</v>
      </c>
      <c r="E67" s="123" t="s">
        <v>93</v>
      </c>
      <c r="F67" s="126" t="s">
        <v>161</v>
      </c>
      <c r="G67" s="127" t="s">
        <v>173</v>
      </c>
      <c r="H67" s="128">
        <v>20</v>
      </c>
      <c r="I67" s="129">
        <f t="shared" si="6"/>
        <v>19</v>
      </c>
      <c r="J67" s="139">
        <f t="shared" si="7"/>
        <v>1</v>
      </c>
      <c r="K67" s="131"/>
      <c r="L67" s="129"/>
      <c r="M67" s="129"/>
      <c r="N67" s="129"/>
      <c r="O67" s="129"/>
      <c r="P67" s="129">
        <v>1</v>
      </c>
      <c r="Q67" s="132"/>
      <c r="R67" s="129"/>
      <c r="S67" s="133">
        <f t="shared" si="8"/>
        <v>0.05</v>
      </c>
      <c r="T67" s="134"/>
      <c r="U67" s="135"/>
      <c r="V67" s="135"/>
      <c r="W67" s="135"/>
      <c r="X67" s="135"/>
      <c r="Y67" s="135"/>
      <c r="Z67" s="135"/>
      <c r="AA67" s="135"/>
      <c r="AB67" s="135"/>
      <c r="AC67" s="135"/>
      <c r="AD67" s="202" t="str">
        <f t="shared" si="3"/>
        <v>HS8078WH4LKIEM</v>
      </c>
      <c r="AE67" s="202" t="str">
        <f t="shared" si="4"/>
        <v>HS8078WH4L</v>
      </c>
    </row>
    <row r="68" spans="1:34">
      <c r="A68" s="121">
        <v>46091</v>
      </c>
      <c r="B68" s="136" t="s">
        <v>92</v>
      </c>
      <c r="C68" s="123" t="s">
        <v>167</v>
      </c>
      <c r="D68" s="123" t="str">
        <f>IF(C68=" "," ",VLOOKUP(C68,'Dữ Liệu'!$C$7:$D$134,2,FALSE))</f>
        <v>GUA</v>
      </c>
      <c r="E68" s="123" t="s">
        <v>93</v>
      </c>
      <c r="F68" s="126" t="s">
        <v>161</v>
      </c>
      <c r="G68" s="127" t="s">
        <v>175</v>
      </c>
      <c r="H68" s="128">
        <v>10</v>
      </c>
      <c r="I68" s="129">
        <f t="shared" si="6"/>
        <v>9</v>
      </c>
      <c r="J68" s="139">
        <f t="shared" si="7"/>
        <v>1</v>
      </c>
      <c r="K68" s="131"/>
      <c r="L68" s="129"/>
      <c r="M68" s="129"/>
      <c r="N68" s="129"/>
      <c r="O68" s="129"/>
      <c r="P68" s="129">
        <v>1</v>
      </c>
      <c r="Q68" s="132"/>
      <c r="R68" s="129"/>
      <c r="S68" s="133">
        <f t="shared" si="8"/>
        <v>0.1</v>
      </c>
      <c r="T68" s="134"/>
      <c r="U68" s="135"/>
      <c r="V68" s="135"/>
      <c r="W68" s="135"/>
      <c r="X68" s="135"/>
      <c r="Y68" s="135"/>
      <c r="Z68" s="135"/>
      <c r="AA68" s="135"/>
      <c r="AB68" s="135"/>
      <c r="AC68" s="135"/>
      <c r="AD68" s="202" t="str">
        <f t="shared" si="3"/>
        <v>HS8078WH5LKIEM</v>
      </c>
      <c r="AE68" s="202" t="str">
        <f t="shared" si="4"/>
        <v>HS8078WH5L</v>
      </c>
    </row>
    <row r="69" spans="1:34">
      <c r="A69" s="121">
        <v>46091</v>
      </c>
      <c r="B69" s="136" t="s">
        <v>94</v>
      </c>
      <c r="C69" s="123" t="s">
        <v>167</v>
      </c>
      <c r="D69" s="123" t="str">
        <f>IF(C69=" "," ",VLOOKUP(C69,'Dữ Liệu'!$C$7:$D$134,2,FALSE))</f>
        <v>GUA</v>
      </c>
      <c r="E69" s="123" t="s">
        <v>93</v>
      </c>
      <c r="F69" s="126" t="s">
        <v>161</v>
      </c>
      <c r="G69" s="127" t="s">
        <v>174</v>
      </c>
      <c r="H69" s="128">
        <v>2</v>
      </c>
      <c r="I69" s="129">
        <f t="shared" si="6"/>
        <v>2</v>
      </c>
      <c r="J69" s="139">
        <f t="shared" si="7"/>
        <v>0</v>
      </c>
      <c r="K69" s="131"/>
      <c r="L69" s="129"/>
      <c r="M69" s="129"/>
      <c r="N69" s="129"/>
      <c r="O69" s="129"/>
      <c r="P69" s="129"/>
      <c r="Q69" s="132"/>
      <c r="R69" s="129"/>
      <c r="S69" s="133">
        <f t="shared" si="8"/>
        <v>0</v>
      </c>
      <c r="T69" s="134"/>
      <c r="U69" s="135"/>
      <c r="V69" s="135"/>
      <c r="W69" s="135"/>
      <c r="X69" s="135"/>
      <c r="Y69" s="135"/>
      <c r="Z69" s="135"/>
      <c r="AA69" s="135"/>
      <c r="AB69" s="135"/>
      <c r="AC69" s="135"/>
      <c r="AD69" s="202" t="str">
        <f t="shared" si="3"/>
        <v>HS8078WHSSTAIKIEM</v>
      </c>
      <c r="AE69" s="202" t="str">
        <f t="shared" si="4"/>
        <v>HS8078WHSS</v>
      </c>
    </row>
    <row r="70" spans="1:34">
      <c r="A70" s="121">
        <v>46091</v>
      </c>
      <c r="B70" s="136" t="s">
        <v>94</v>
      </c>
      <c r="C70" s="123" t="s">
        <v>167</v>
      </c>
      <c r="D70" s="123" t="str">
        <f>IF(C70=" "," ",VLOOKUP(C70,'Dữ Liệu'!$C$7:$D$134,2,FALSE))</f>
        <v>GUA</v>
      </c>
      <c r="E70" s="123" t="s">
        <v>93</v>
      </c>
      <c r="F70" s="126" t="s">
        <v>161</v>
      </c>
      <c r="G70" s="127" t="s">
        <v>169</v>
      </c>
      <c r="H70" s="128">
        <v>6</v>
      </c>
      <c r="I70" s="129">
        <f t="shared" si="6"/>
        <v>6</v>
      </c>
      <c r="J70" s="139">
        <f t="shared" si="7"/>
        <v>0</v>
      </c>
      <c r="K70" s="131"/>
      <c r="L70" s="129"/>
      <c r="M70" s="129"/>
      <c r="N70" s="129"/>
      <c r="O70" s="129"/>
      <c r="P70" s="129"/>
      <c r="Q70" s="132"/>
      <c r="R70" s="129"/>
      <c r="S70" s="133">
        <f t="shared" si="8"/>
        <v>0</v>
      </c>
      <c r="T70" s="134"/>
      <c r="U70" s="135"/>
      <c r="V70" s="135"/>
      <c r="W70" s="135"/>
      <c r="X70" s="135"/>
      <c r="Y70" s="135"/>
      <c r="Z70" s="135"/>
      <c r="AA70" s="135"/>
      <c r="AB70" s="135"/>
      <c r="AC70" s="135"/>
      <c r="AD70" s="202" t="str">
        <f t="shared" si="3"/>
        <v>HS8078WHSTAIKIEM</v>
      </c>
      <c r="AE70" s="202" t="str">
        <f t="shared" si="4"/>
        <v>HS8078WHS</v>
      </c>
    </row>
    <row r="71" spans="1:34">
      <c r="A71" s="121">
        <v>46091</v>
      </c>
      <c r="B71" s="136" t="s">
        <v>94</v>
      </c>
      <c r="C71" s="123" t="s">
        <v>167</v>
      </c>
      <c r="D71" s="123" t="str">
        <f>IF(C71=" "," ",VLOOKUP(C71,'Dữ Liệu'!$C$7:$D$134,2,FALSE))</f>
        <v>GUA</v>
      </c>
      <c r="E71" s="123" t="s">
        <v>93</v>
      </c>
      <c r="F71" s="126" t="s">
        <v>161</v>
      </c>
      <c r="G71" s="127" t="s">
        <v>166</v>
      </c>
      <c r="H71" s="128">
        <v>4</v>
      </c>
      <c r="I71" s="129">
        <f t="shared" si="6"/>
        <v>4</v>
      </c>
      <c r="J71" s="139">
        <f t="shared" ref="J71:J83" si="9">SUM(K71:Q71)</f>
        <v>0</v>
      </c>
      <c r="K71" s="131"/>
      <c r="L71" s="129"/>
      <c r="M71" s="129"/>
      <c r="N71" s="129"/>
      <c r="O71" s="129"/>
      <c r="P71" s="129"/>
      <c r="Q71" s="132"/>
      <c r="R71" s="129"/>
      <c r="S71" s="133">
        <f t="shared" si="8"/>
        <v>0</v>
      </c>
      <c r="T71" s="134"/>
      <c r="U71" s="135"/>
      <c r="V71" s="135"/>
      <c r="W71" s="135"/>
      <c r="X71" s="135"/>
      <c r="Y71" s="135"/>
      <c r="Z71" s="135"/>
      <c r="AA71" s="135"/>
      <c r="AB71" s="135"/>
      <c r="AC71" s="135"/>
      <c r="AD71" s="202" t="str">
        <f t="shared" si="3"/>
        <v>HS8078WHMTAIKIEM</v>
      </c>
      <c r="AE71" s="202" t="str">
        <f t="shared" si="4"/>
        <v>HS8078WHM</v>
      </c>
    </row>
    <row r="72" spans="1:34">
      <c r="A72" s="121">
        <v>46091</v>
      </c>
      <c r="B72" s="136" t="s">
        <v>94</v>
      </c>
      <c r="C72" s="123" t="s">
        <v>167</v>
      </c>
      <c r="D72" s="123" t="str">
        <f>IF(C72=" "," ",VLOOKUP(C72,'Dữ Liệu'!$C$7:$D$134,2,FALSE))</f>
        <v>GUA</v>
      </c>
      <c r="E72" s="123" t="s">
        <v>93</v>
      </c>
      <c r="F72" s="126" t="s">
        <v>161</v>
      </c>
      <c r="G72" s="143" t="s">
        <v>162</v>
      </c>
      <c r="H72" s="128">
        <v>2</v>
      </c>
      <c r="I72" s="129">
        <f t="shared" si="6"/>
        <v>2</v>
      </c>
      <c r="J72" s="130">
        <f t="shared" si="9"/>
        <v>0</v>
      </c>
      <c r="K72" s="131"/>
      <c r="L72" s="129"/>
      <c r="M72" s="129"/>
      <c r="N72" s="129"/>
      <c r="O72" s="129"/>
      <c r="P72" s="129"/>
      <c r="Q72" s="132"/>
      <c r="R72" s="129"/>
      <c r="S72" s="133">
        <f t="shared" si="8"/>
        <v>0</v>
      </c>
      <c r="T72" s="134"/>
      <c r="U72" s="135"/>
      <c r="V72" s="135"/>
      <c r="W72" s="135"/>
      <c r="X72" s="135"/>
      <c r="Y72" s="135"/>
      <c r="Z72" s="135"/>
      <c r="AA72" s="135"/>
      <c r="AB72" s="135"/>
      <c r="AC72" s="135"/>
      <c r="AD72" s="202" t="str">
        <f t="shared" ref="AD72:AD135" si="10">C72&amp;F72&amp;G72&amp;B72</f>
        <v>HS8078WHLTAIKIEM</v>
      </c>
      <c r="AE72" s="202" t="str">
        <f t="shared" ref="AE72:AE135" si="11">C72&amp;F72&amp;G72</f>
        <v>HS8078WHL</v>
      </c>
    </row>
    <row r="73" spans="1:34">
      <c r="A73" s="121">
        <v>46091</v>
      </c>
      <c r="B73" s="136" t="s">
        <v>94</v>
      </c>
      <c r="C73" s="123" t="s">
        <v>167</v>
      </c>
      <c r="D73" s="123" t="str">
        <f>IF(C73=" "," ",VLOOKUP(C73,'Dữ Liệu'!$C$7:$D$134,2,FALSE))</f>
        <v>GUA</v>
      </c>
      <c r="E73" s="123" t="s">
        <v>93</v>
      </c>
      <c r="F73" s="126" t="s">
        <v>161</v>
      </c>
      <c r="G73" s="143" t="s">
        <v>164</v>
      </c>
      <c r="H73" s="128">
        <v>2</v>
      </c>
      <c r="I73" s="129">
        <f t="shared" si="6"/>
        <v>2</v>
      </c>
      <c r="J73" s="139">
        <f t="shared" si="9"/>
        <v>0</v>
      </c>
      <c r="K73" s="131"/>
      <c r="L73" s="129"/>
      <c r="M73" s="129"/>
      <c r="N73" s="129"/>
      <c r="O73" s="129"/>
      <c r="P73" s="129"/>
      <c r="Q73" s="132"/>
      <c r="R73" s="129"/>
      <c r="S73" s="133">
        <f t="shared" si="8"/>
        <v>0</v>
      </c>
      <c r="T73" s="134"/>
      <c r="U73" s="135"/>
      <c r="V73" s="135"/>
      <c r="W73" s="135"/>
      <c r="X73" s="135"/>
      <c r="Y73" s="135"/>
      <c r="Z73" s="135"/>
      <c r="AA73" s="135"/>
      <c r="AB73" s="135"/>
      <c r="AC73" s="135"/>
      <c r="AD73" s="202" t="str">
        <f t="shared" si="10"/>
        <v>HS8078WHLLTAIKIEM</v>
      </c>
      <c r="AE73" s="202" t="str">
        <f t="shared" si="11"/>
        <v>HS8078WHLL</v>
      </c>
      <c r="AH73" s="221">
        <v>46086</v>
      </c>
    </row>
    <row r="74" spans="1:34">
      <c r="A74" s="121">
        <v>46091</v>
      </c>
      <c r="B74" s="136" t="s">
        <v>94</v>
      </c>
      <c r="C74" s="123" t="s">
        <v>167</v>
      </c>
      <c r="D74" s="123" t="str">
        <f>IF(C74=" "," ",VLOOKUP(C74,'Dữ Liệu'!$C$7:$D$134,2,FALSE))</f>
        <v>GUA</v>
      </c>
      <c r="E74" s="123" t="s">
        <v>93</v>
      </c>
      <c r="F74" s="126" t="s">
        <v>161</v>
      </c>
      <c r="G74" s="127" t="s">
        <v>177</v>
      </c>
      <c r="H74" s="128">
        <v>3</v>
      </c>
      <c r="I74" s="129">
        <f t="shared" si="6"/>
        <v>3</v>
      </c>
      <c r="J74" s="139">
        <f t="shared" si="9"/>
        <v>0</v>
      </c>
      <c r="K74" s="131"/>
      <c r="L74" s="129"/>
      <c r="M74" s="129"/>
      <c r="N74" s="129"/>
      <c r="O74" s="142"/>
      <c r="P74" s="129"/>
      <c r="Q74" s="132"/>
      <c r="R74" s="129"/>
      <c r="S74" s="133">
        <f t="shared" si="8"/>
        <v>0</v>
      </c>
      <c r="T74" s="134"/>
      <c r="U74" s="135"/>
      <c r="V74" s="135"/>
      <c r="W74" s="135"/>
      <c r="X74" s="135"/>
      <c r="Y74" s="135"/>
      <c r="Z74" s="135"/>
      <c r="AA74" s="135"/>
      <c r="AB74" s="135"/>
      <c r="AC74" s="135"/>
      <c r="AD74" s="202" t="str">
        <f t="shared" si="10"/>
        <v>HS8078WHBLTAIKIEM</v>
      </c>
      <c r="AE74" s="202" t="str">
        <f t="shared" si="11"/>
        <v>HS8078WHBL</v>
      </c>
    </row>
    <row r="75" spans="1:34">
      <c r="A75" s="121">
        <v>46091</v>
      </c>
      <c r="B75" s="136" t="s">
        <v>94</v>
      </c>
      <c r="C75" s="123" t="s">
        <v>167</v>
      </c>
      <c r="D75" s="123" t="str">
        <f>IF(C75=" "," ",VLOOKUP(C75,'Dữ Liệu'!$C$7:$D$134,2,FALSE))</f>
        <v>GUA</v>
      </c>
      <c r="E75" s="123" t="s">
        <v>93</v>
      </c>
      <c r="F75" s="126" t="s">
        <v>161</v>
      </c>
      <c r="G75" s="127" t="s">
        <v>173</v>
      </c>
      <c r="H75" s="128">
        <v>1</v>
      </c>
      <c r="I75" s="129">
        <f t="shared" si="6"/>
        <v>1</v>
      </c>
      <c r="J75" s="139">
        <f t="shared" si="9"/>
        <v>0</v>
      </c>
      <c r="K75" s="131"/>
      <c r="L75" s="129"/>
      <c r="M75" s="129"/>
      <c r="N75" s="129"/>
      <c r="O75" s="129"/>
      <c r="P75" s="129"/>
      <c r="Q75" s="132"/>
      <c r="R75" s="129"/>
      <c r="S75" s="133">
        <f t="shared" si="8"/>
        <v>0</v>
      </c>
      <c r="T75" s="134"/>
      <c r="U75" s="135"/>
      <c r="V75" s="135"/>
      <c r="W75" s="135"/>
      <c r="X75" s="135"/>
      <c r="Y75" s="135"/>
      <c r="Z75" s="135"/>
      <c r="AA75" s="135"/>
      <c r="AB75" s="135"/>
      <c r="AC75" s="135"/>
      <c r="AD75" s="202" t="str">
        <f t="shared" si="10"/>
        <v>HS8078WH4LTAIKIEM</v>
      </c>
      <c r="AE75" s="202" t="str">
        <f t="shared" si="11"/>
        <v>HS8078WH4L</v>
      </c>
    </row>
    <row r="76" spans="1:34">
      <c r="A76" s="121">
        <v>46091</v>
      </c>
      <c r="B76" s="136" t="s">
        <v>94</v>
      </c>
      <c r="C76" s="125" t="s">
        <v>167</v>
      </c>
      <c r="D76" s="123" t="str">
        <f>IF(C76=" "," ",VLOOKUP(C76,'Dữ Liệu'!$C$7:$D$134,2,FALSE))</f>
        <v>GUA</v>
      </c>
      <c r="E76" s="125" t="s">
        <v>93</v>
      </c>
      <c r="F76" s="145" t="s">
        <v>161</v>
      </c>
      <c r="G76" s="127" t="s">
        <v>175</v>
      </c>
      <c r="H76" s="128">
        <v>1</v>
      </c>
      <c r="I76" s="129">
        <f t="shared" si="6"/>
        <v>1</v>
      </c>
      <c r="J76" s="139">
        <f t="shared" si="9"/>
        <v>0</v>
      </c>
      <c r="K76" s="131"/>
      <c r="L76" s="129"/>
      <c r="M76" s="129"/>
      <c r="N76" s="129"/>
      <c r="O76" s="142"/>
      <c r="P76" s="129"/>
      <c r="Q76" s="132"/>
      <c r="R76" s="129"/>
      <c r="S76" s="133">
        <f t="shared" si="8"/>
        <v>0</v>
      </c>
      <c r="T76" s="134"/>
      <c r="U76" s="135"/>
      <c r="V76" s="135"/>
      <c r="W76" s="135"/>
      <c r="X76" s="135"/>
      <c r="Y76" s="135"/>
      <c r="Z76" s="135"/>
      <c r="AA76" s="135"/>
      <c r="AB76" s="135"/>
      <c r="AC76" s="135"/>
      <c r="AD76" s="202" t="str">
        <f t="shared" si="10"/>
        <v>HS8078WH5LTAIKIEM</v>
      </c>
      <c r="AE76" s="202" t="str">
        <f t="shared" si="11"/>
        <v>HS8078WH5L</v>
      </c>
    </row>
    <row r="77" spans="1:34">
      <c r="A77" s="121">
        <v>46093</v>
      </c>
      <c r="B77" s="136" t="s">
        <v>92</v>
      </c>
      <c r="C77" s="123" t="s">
        <v>215</v>
      </c>
      <c r="D77" s="123" t="str">
        <f>IF(C77=" "," ",VLOOKUP(C77,'Dữ Liệu'!$C$7:$D$134,2,FALSE))</f>
        <v>GUA</v>
      </c>
      <c r="E77" s="125" t="s">
        <v>93</v>
      </c>
      <c r="F77" s="146" t="s">
        <v>161</v>
      </c>
      <c r="G77" s="147" t="s">
        <v>169</v>
      </c>
      <c r="H77" s="128">
        <v>33</v>
      </c>
      <c r="I77" s="129">
        <f t="shared" si="6"/>
        <v>30</v>
      </c>
      <c r="J77" s="139">
        <f t="shared" si="9"/>
        <v>3</v>
      </c>
      <c r="K77" s="131"/>
      <c r="L77" s="129"/>
      <c r="M77" s="129">
        <v>1</v>
      </c>
      <c r="N77" s="129"/>
      <c r="O77" s="129">
        <v>1</v>
      </c>
      <c r="P77" s="129">
        <v>1</v>
      </c>
      <c r="Q77" s="132"/>
      <c r="R77" s="129"/>
      <c r="S77" s="133">
        <f t="shared" si="8"/>
        <v>9.0909090909090912E-2</v>
      </c>
      <c r="T77" s="134"/>
      <c r="U77" s="135"/>
      <c r="V77" s="135"/>
      <c r="W77" s="135"/>
      <c r="X77" s="135"/>
      <c r="Y77" s="135"/>
      <c r="Z77" s="135"/>
      <c r="AA77" s="135"/>
      <c r="AB77" s="135"/>
      <c r="AC77" s="135"/>
      <c r="AD77" s="202" t="str">
        <f t="shared" si="10"/>
        <v>BR1108WHSKIEM</v>
      </c>
      <c r="AE77" s="202" t="str">
        <f t="shared" si="11"/>
        <v>BR1108WHS</v>
      </c>
    </row>
    <row r="78" spans="1:34">
      <c r="A78" s="121">
        <v>46093</v>
      </c>
      <c r="B78" s="136" t="s">
        <v>92</v>
      </c>
      <c r="C78" s="123" t="s">
        <v>215</v>
      </c>
      <c r="D78" s="123" t="str">
        <f>IF(C78=" "," ",VLOOKUP(C78,'Dữ Liệu'!$C$7:$D$134,2,FALSE))</f>
        <v>GUA</v>
      </c>
      <c r="E78" s="125" t="s">
        <v>93</v>
      </c>
      <c r="F78" s="146" t="s">
        <v>161</v>
      </c>
      <c r="G78" s="147" t="s">
        <v>166</v>
      </c>
      <c r="H78" s="128">
        <v>192</v>
      </c>
      <c r="I78" s="129">
        <f t="shared" si="6"/>
        <v>165</v>
      </c>
      <c r="J78" s="139">
        <f t="shared" si="9"/>
        <v>27</v>
      </c>
      <c r="K78" s="131"/>
      <c r="L78" s="129"/>
      <c r="M78" s="129">
        <v>5</v>
      </c>
      <c r="N78" s="129"/>
      <c r="O78" s="129">
        <v>14</v>
      </c>
      <c r="P78" s="129">
        <v>8</v>
      </c>
      <c r="Q78" s="132"/>
      <c r="R78" s="129"/>
      <c r="S78" s="133">
        <f t="shared" si="8"/>
        <v>0.140625</v>
      </c>
      <c r="T78" s="134"/>
      <c r="U78" s="135"/>
      <c r="V78" s="135"/>
      <c r="W78" s="135"/>
      <c r="X78" s="135"/>
      <c r="Y78" s="135"/>
      <c r="Z78" s="135"/>
      <c r="AA78" s="135"/>
      <c r="AB78" s="135"/>
      <c r="AC78" s="135"/>
      <c r="AD78" s="202" t="str">
        <f t="shared" si="10"/>
        <v>BR1108WHMKIEM</v>
      </c>
      <c r="AE78" s="202" t="str">
        <f t="shared" si="11"/>
        <v>BR1108WHM</v>
      </c>
    </row>
    <row r="79" spans="1:34">
      <c r="A79" s="121">
        <v>46093</v>
      </c>
      <c r="B79" s="121" t="s">
        <v>92</v>
      </c>
      <c r="C79" s="123" t="s">
        <v>215</v>
      </c>
      <c r="D79" s="123" t="str">
        <f>IF(C79=" "," ",VLOOKUP(C79,'Dữ Liệu'!$C$7:$D$134,2,FALSE))</f>
        <v>GUA</v>
      </c>
      <c r="E79" s="125" t="s">
        <v>93</v>
      </c>
      <c r="F79" s="146" t="s">
        <v>161</v>
      </c>
      <c r="G79" s="147" t="s">
        <v>162</v>
      </c>
      <c r="H79" s="128">
        <v>143</v>
      </c>
      <c r="I79" s="129">
        <f t="shared" si="6"/>
        <v>131</v>
      </c>
      <c r="J79" s="139">
        <f t="shared" si="9"/>
        <v>12</v>
      </c>
      <c r="K79" s="131"/>
      <c r="L79" s="129"/>
      <c r="M79" s="129">
        <v>2</v>
      </c>
      <c r="N79" s="129"/>
      <c r="O79" s="129">
        <v>7</v>
      </c>
      <c r="P79" s="129">
        <v>3</v>
      </c>
      <c r="Q79" s="132"/>
      <c r="R79" s="129"/>
      <c r="S79" s="133">
        <f t="shared" si="8"/>
        <v>8.3916083916083919E-2</v>
      </c>
      <c r="T79" s="134"/>
      <c r="U79" s="135"/>
      <c r="V79" s="135"/>
      <c r="W79" s="135"/>
      <c r="X79" s="135"/>
      <c r="Y79" s="135"/>
      <c r="Z79" s="135"/>
      <c r="AA79" s="135"/>
      <c r="AB79" s="135"/>
      <c r="AC79" s="135"/>
      <c r="AD79" s="202" t="str">
        <f t="shared" si="10"/>
        <v>BR1108WHLKIEM</v>
      </c>
      <c r="AE79" s="202" t="str">
        <f t="shared" si="11"/>
        <v>BR1108WHL</v>
      </c>
    </row>
    <row r="80" spans="1:34">
      <c r="A80" s="121">
        <v>46093</v>
      </c>
      <c r="B80" s="121" t="s">
        <v>92</v>
      </c>
      <c r="C80" s="123" t="s">
        <v>215</v>
      </c>
      <c r="D80" s="123" t="str">
        <f>IF(C80=" "," ",VLOOKUP(C80,'Dữ Liệu'!$C$7:$D$134,2,FALSE))</f>
        <v>GUA</v>
      </c>
      <c r="E80" s="125" t="s">
        <v>93</v>
      </c>
      <c r="F80" s="146" t="s">
        <v>161</v>
      </c>
      <c r="G80" s="148" t="s">
        <v>164</v>
      </c>
      <c r="H80" s="128">
        <v>35</v>
      </c>
      <c r="I80" s="129">
        <f t="shared" si="6"/>
        <v>30</v>
      </c>
      <c r="J80" s="139">
        <f t="shared" si="9"/>
        <v>5</v>
      </c>
      <c r="K80" s="131"/>
      <c r="L80" s="129"/>
      <c r="M80" s="129">
        <v>1</v>
      </c>
      <c r="N80" s="129"/>
      <c r="O80" s="129">
        <v>1</v>
      </c>
      <c r="P80" s="129">
        <v>3</v>
      </c>
      <c r="Q80" s="132"/>
      <c r="R80" s="129"/>
      <c r="S80" s="133">
        <f t="shared" si="8"/>
        <v>0.14285714285714285</v>
      </c>
      <c r="T80" s="134"/>
      <c r="U80" s="135"/>
      <c r="V80" s="135"/>
      <c r="W80" s="135"/>
      <c r="X80" s="135"/>
      <c r="Y80" s="135"/>
      <c r="Z80" s="135"/>
      <c r="AA80" s="135"/>
      <c r="AB80" s="135"/>
      <c r="AC80" s="135"/>
      <c r="AD80" s="202" t="str">
        <f t="shared" si="10"/>
        <v>BR1108WHLLKIEM</v>
      </c>
      <c r="AE80" s="202" t="str">
        <f t="shared" si="11"/>
        <v>BR1108WHLL</v>
      </c>
    </row>
    <row r="81" spans="1:31">
      <c r="A81" s="121">
        <v>46093</v>
      </c>
      <c r="B81" s="121" t="s">
        <v>94</v>
      </c>
      <c r="C81" s="123" t="s">
        <v>215</v>
      </c>
      <c r="D81" s="123" t="str">
        <f>IF(C81=" "," ",VLOOKUP(C81,'Dữ Liệu'!$C$7:$D$134,2,FALSE))</f>
        <v>GUA</v>
      </c>
      <c r="E81" s="125" t="s">
        <v>93</v>
      </c>
      <c r="F81" s="146" t="s">
        <v>161</v>
      </c>
      <c r="G81" s="149" t="s">
        <v>169</v>
      </c>
      <c r="H81" s="128">
        <v>3</v>
      </c>
      <c r="I81" s="129">
        <f t="shared" si="6"/>
        <v>3</v>
      </c>
      <c r="J81" s="139">
        <f t="shared" si="9"/>
        <v>0</v>
      </c>
      <c r="K81" s="131"/>
      <c r="L81" s="129"/>
      <c r="M81" s="129"/>
      <c r="N81" s="129"/>
      <c r="O81" s="129"/>
      <c r="P81" s="129"/>
      <c r="Q81" s="132"/>
      <c r="R81" s="129"/>
      <c r="S81" s="133">
        <f t="shared" si="8"/>
        <v>0</v>
      </c>
      <c r="T81" s="134"/>
      <c r="U81" s="135"/>
      <c r="V81" s="135"/>
      <c r="W81" s="135"/>
      <c r="X81" s="135"/>
      <c r="Y81" s="135"/>
      <c r="Z81" s="135"/>
      <c r="AA81" s="135"/>
      <c r="AB81" s="135"/>
      <c r="AC81" s="135"/>
      <c r="AD81" s="202" t="str">
        <f t="shared" si="10"/>
        <v>BR1108WHSTAIKIEM</v>
      </c>
      <c r="AE81" s="202" t="str">
        <f t="shared" si="11"/>
        <v>BR1108WHS</v>
      </c>
    </row>
    <row r="82" spans="1:31">
      <c r="A82" s="121">
        <v>46093</v>
      </c>
      <c r="B82" s="121" t="s">
        <v>94</v>
      </c>
      <c r="C82" s="123" t="s">
        <v>215</v>
      </c>
      <c r="D82" s="123" t="str">
        <f>IF(C82=" "," ",VLOOKUP(C82,'Dữ Liệu'!$C$7:$D$134,2,FALSE))</f>
        <v>GUA</v>
      </c>
      <c r="E82" s="125" t="s">
        <v>93</v>
      </c>
      <c r="F82" s="146" t="s">
        <v>161</v>
      </c>
      <c r="G82" s="147" t="s">
        <v>166</v>
      </c>
      <c r="H82" s="128">
        <v>27</v>
      </c>
      <c r="I82" s="129">
        <f t="shared" si="6"/>
        <v>27</v>
      </c>
      <c r="J82" s="139">
        <f t="shared" si="9"/>
        <v>0</v>
      </c>
      <c r="K82" s="131"/>
      <c r="L82" s="129"/>
      <c r="M82" s="129"/>
      <c r="N82" s="129"/>
      <c r="O82" s="129"/>
      <c r="P82" s="129"/>
      <c r="Q82" s="132"/>
      <c r="R82" s="129"/>
      <c r="S82" s="133">
        <f t="shared" si="8"/>
        <v>0</v>
      </c>
      <c r="T82" s="134"/>
      <c r="U82" s="135"/>
      <c r="V82" s="135"/>
      <c r="W82" s="135"/>
      <c r="X82" s="135"/>
      <c r="Y82" s="135"/>
      <c r="Z82" s="135"/>
      <c r="AA82" s="135"/>
      <c r="AB82" s="135"/>
      <c r="AC82" s="135"/>
      <c r="AD82" s="202" t="str">
        <f t="shared" si="10"/>
        <v>BR1108WHMTAIKIEM</v>
      </c>
      <c r="AE82" s="202" t="str">
        <f t="shared" si="11"/>
        <v>BR1108WHM</v>
      </c>
    </row>
    <row r="83" spans="1:31">
      <c r="A83" s="121">
        <v>46093</v>
      </c>
      <c r="B83" s="121" t="s">
        <v>94</v>
      </c>
      <c r="C83" s="123" t="s">
        <v>215</v>
      </c>
      <c r="D83" s="123" t="str">
        <f>IF(C83=" "," ",VLOOKUP(C83,'Dữ Liệu'!$C$7:$D$134,2,FALSE))</f>
        <v>GUA</v>
      </c>
      <c r="E83" s="125" t="s">
        <v>93</v>
      </c>
      <c r="F83" s="146" t="s">
        <v>161</v>
      </c>
      <c r="G83" s="147" t="s">
        <v>162</v>
      </c>
      <c r="H83" s="128">
        <v>12</v>
      </c>
      <c r="I83" s="129">
        <f t="shared" si="6"/>
        <v>12</v>
      </c>
      <c r="J83" s="139">
        <f t="shared" si="9"/>
        <v>0</v>
      </c>
      <c r="K83" s="131"/>
      <c r="L83" s="129"/>
      <c r="M83" s="129"/>
      <c r="N83" s="129"/>
      <c r="O83" s="129"/>
      <c r="P83" s="129"/>
      <c r="Q83" s="132"/>
      <c r="R83" s="129"/>
      <c r="S83" s="133">
        <f t="shared" si="8"/>
        <v>0</v>
      </c>
      <c r="T83" s="134"/>
      <c r="U83" s="135"/>
      <c r="V83" s="135"/>
      <c r="W83" s="135"/>
      <c r="X83" s="135"/>
      <c r="Y83" s="135"/>
      <c r="Z83" s="135"/>
      <c r="AA83" s="135"/>
      <c r="AB83" s="135"/>
      <c r="AC83" s="135"/>
      <c r="AD83" s="202" t="str">
        <f t="shared" si="10"/>
        <v>BR1108WHLTAIKIEM</v>
      </c>
      <c r="AE83" s="202" t="str">
        <f t="shared" si="11"/>
        <v>BR1108WHL</v>
      </c>
    </row>
    <row r="84" spans="1:31">
      <c r="A84" s="121">
        <v>46093</v>
      </c>
      <c r="B84" s="121" t="s">
        <v>94</v>
      </c>
      <c r="C84" s="123" t="s">
        <v>215</v>
      </c>
      <c r="D84" s="123" t="str">
        <f>IF(C84=" "," ",VLOOKUP(C84,'Dữ Liệu'!$C$7:$D$134,2,FALSE))</f>
        <v>GUA</v>
      </c>
      <c r="E84" s="125" t="s">
        <v>93</v>
      </c>
      <c r="F84" s="146" t="s">
        <v>161</v>
      </c>
      <c r="G84" s="149" t="s">
        <v>164</v>
      </c>
      <c r="H84" s="128">
        <v>5</v>
      </c>
      <c r="I84" s="129">
        <f t="shared" si="6"/>
        <v>5</v>
      </c>
      <c r="J84" s="139">
        <f t="shared" ref="J84:J134" si="12">SUM(K84:Q84)</f>
        <v>0</v>
      </c>
      <c r="K84" s="131"/>
      <c r="L84" s="129"/>
      <c r="M84" s="129"/>
      <c r="N84" s="129"/>
      <c r="O84" s="129"/>
      <c r="P84" s="129"/>
      <c r="Q84" s="132"/>
      <c r="R84" s="129"/>
      <c r="S84" s="133">
        <f t="shared" si="8"/>
        <v>0</v>
      </c>
      <c r="T84" s="134"/>
      <c r="U84" s="135"/>
      <c r="V84" s="135"/>
      <c r="W84" s="135"/>
      <c r="X84" s="135"/>
      <c r="Y84" s="135"/>
      <c r="Z84" s="135"/>
      <c r="AA84" s="135"/>
      <c r="AB84" s="135"/>
      <c r="AC84" s="135"/>
      <c r="AD84" s="202" t="str">
        <f t="shared" si="10"/>
        <v>BR1108WHLLTAIKIEM</v>
      </c>
      <c r="AE84" s="202" t="str">
        <f t="shared" si="11"/>
        <v>BR1108WHLL</v>
      </c>
    </row>
    <row r="85" spans="1:31">
      <c r="A85" s="121">
        <v>46093</v>
      </c>
      <c r="B85" s="121" t="s">
        <v>92</v>
      </c>
      <c r="C85" s="123" t="s">
        <v>167</v>
      </c>
      <c r="D85" s="123" t="str">
        <f>IF(C85=" "," ",VLOOKUP(C85,'Dữ Liệu'!$C$7:$D$134,2,FALSE))</f>
        <v>GUA</v>
      </c>
      <c r="E85" s="125" t="s">
        <v>93</v>
      </c>
      <c r="F85" s="146" t="s">
        <v>161</v>
      </c>
      <c r="G85" s="147" t="s">
        <v>169</v>
      </c>
      <c r="H85" s="128">
        <v>1</v>
      </c>
      <c r="I85" s="129">
        <f t="shared" si="6"/>
        <v>1</v>
      </c>
      <c r="J85" s="139">
        <f t="shared" si="12"/>
        <v>0</v>
      </c>
      <c r="K85" s="131"/>
      <c r="L85" s="129"/>
      <c r="M85" s="129"/>
      <c r="N85" s="129"/>
      <c r="O85" s="129"/>
      <c r="P85" s="129"/>
      <c r="Q85" s="132"/>
      <c r="R85" s="129"/>
      <c r="S85" s="133">
        <f t="shared" si="8"/>
        <v>0</v>
      </c>
      <c r="T85" s="134"/>
      <c r="U85" s="135"/>
      <c r="V85" s="135"/>
      <c r="W85" s="135"/>
      <c r="X85" s="135"/>
      <c r="Y85" s="135"/>
      <c r="Z85" s="135"/>
      <c r="AA85" s="135"/>
      <c r="AB85" s="135"/>
      <c r="AC85" s="135"/>
      <c r="AD85" s="202" t="str">
        <f t="shared" si="10"/>
        <v>HS8078WHSKIEM</v>
      </c>
      <c r="AE85" s="202" t="str">
        <f t="shared" si="11"/>
        <v>HS8078WHS</v>
      </c>
    </row>
    <row r="86" spans="1:31">
      <c r="A86" s="121">
        <v>46093</v>
      </c>
      <c r="B86" s="121" t="s">
        <v>92</v>
      </c>
      <c r="C86" s="123" t="s">
        <v>167</v>
      </c>
      <c r="D86" s="123" t="str">
        <f>IF(C86=" "," ",VLOOKUP(C86,'Dữ Liệu'!$C$7:$D$134,2,FALSE))</f>
        <v>GUA</v>
      </c>
      <c r="E86" s="125" t="s">
        <v>93</v>
      </c>
      <c r="F86" s="146" t="s">
        <v>161</v>
      </c>
      <c r="G86" s="147" t="s">
        <v>162</v>
      </c>
      <c r="H86" s="128">
        <v>2</v>
      </c>
      <c r="I86" s="129">
        <f t="shared" si="6"/>
        <v>2</v>
      </c>
      <c r="J86" s="139">
        <f t="shared" si="12"/>
        <v>0</v>
      </c>
      <c r="K86" s="131"/>
      <c r="L86" s="129"/>
      <c r="M86" s="129"/>
      <c r="N86" s="129"/>
      <c r="O86" s="129"/>
      <c r="P86" s="129"/>
      <c r="Q86" s="132"/>
      <c r="R86" s="129"/>
      <c r="S86" s="133">
        <f t="shared" si="8"/>
        <v>0</v>
      </c>
      <c r="T86" s="134"/>
      <c r="U86" s="135"/>
      <c r="V86" s="135"/>
      <c r="W86" s="135"/>
      <c r="X86" s="135"/>
      <c r="Y86" s="135"/>
      <c r="Z86" s="135"/>
      <c r="AA86" s="135"/>
      <c r="AB86" s="135"/>
      <c r="AC86" s="135"/>
      <c r="AD86" s="202" t="str">
        <f t="shared" si="10"/>
        <v>HS8078WHLKIEM</v>
      </c>
      <c r="AE86" s="202" t="str">
        <f t="shared" si="11"/>
        <v>HS8078WHL</v>
      </c>
    </row>
    <row r="87" spans="1:31">
      <c r="A87" s="121">
        <v>46093</v>
      </c>
      <c r="B87" s="121" t="s">
        <v>92</v>
      </c>
      <c r="C87" s="123" t="s">
        <v>167</v>
      </c>
      <c r="D87" s="123" t="str">
        <f>IF(C87=" "," ",VLOOKUP(C87,'Dữ Liệu'!$C$7:$D$134,2,FALSE))</f>
        <v>GUA</v>
      </c>
      <c r="E87" s="125" t="s">
        <v>93</v>
      </c>
      <c r="F87" s="146" t="s">
        <v>161</v>
      </c>
      <c r="G87" s="147" t="s">
        <v>164</v>
      </c>
      <c r="H87" s="128">
        <v>1</v>
      </c>
      <c r="I87" s="129">
        <f t="shared" si="6"/>
        <v>1</v>
      </c>
      <c r="J87" s="139">
        <f t="shared" si="12"/>
        <v>0</v>
      </c>
      <c r="K87" s="131"/>
      <c r="L87" s="129"/>
      <c r="M87" s="129"/>
      <c r="N87" s="129"/>
      <c r="O87" s="129"/>
      <c r="P87" s="129"/>
      <c r="Q87" s="132"/>
      <c r="R87" s="129"/>
      <c r="S87" s="133">
        <f t="shared" si="8"/>
        <v>0</v>
      </c>
      <c r="T87" s="134"/>
      <c r="U87" s="135"/>
      <c r="V87" s="135"/>
      <c r="W87" s="135"/>
      <c r="X87" s="135"/>
      <c r="Y87" s="135"/>
      <c r="Z87" s="135"/>
      <c r="AA87" s="135"/>
      <c r="AB87" s="135"/>
      <c r="AC87" s="135"/>
      <c r="AD87" s="202" t="str">
        <f t="shared" si="10"/>
        <v>HS8078WHLLKIEM</v>
      </c>
      <c r="AE87" s="202" t="str">
        <f t="shared" si="11"/>
        <v>HS8078WHLL</v>
      </c>
    </row>
    <row r="88" spans="1:31">
      <c r="A88" s="121">
        <v>46094</v>
      </c>
      <c r="B88" s="121" t="s">
        <v>92</v>
      </c>
      <c r="C88" s="123" t="s">
        <v>216</v>
      </c>
      <c r="D88" s="123" t="str">
        <f>IF(C88=" "," ",VLOOKUP(C88,'Dữ Liệu'!$C$7:$D$134,2,FALSE))</f>
        <v>GUA</v>
      </c>
      <c r="E88" s="125" t="s">
        <v>93</v>
      </c>
      <c r="F88" s="146" t="s">
        <v>161</v>
      </c>
      <c r="G88" s="147" t="s">
        <v>166</v>
      </c>
      <c r="H88" s="128">
        <v>419</v>
      </c>
      <c r="I88" s="129">
        <f t="shared" si="6"/>
        <v>367</v>
      </c>
      <c r="J88" s="139">
        <f t="shared" si="12"/>
        <v>52</v>
      </c>
      <c r="K88" s="131">
        <v>2</v>
      </c>
      <c r="L88" s="129"/>
      <c r="M88" s="129">
        <v>7</v>
      </c>
      <c r="N88" s="129">
        <v>5</v>
      </c>
      <c r="O88" s="129">
        <v>29</v>
      </c>
      <c r="P88" s="129">
        <v>9</v>
      </c>
      <c r="Q88" s="132"/>
      <c r="R88" s="129"/>
      <c r="S88" s="133">
        <f t="shared" si="8"/>
        <v>0.12410501193317422</v>
      </c>
      <c r="T88" s="134"/>
      <c r="U88" s="135"/>
      <c r="V88" s="135"/>
      <c r="W88" s="135"/>
      <c r="X88" s="135"/>
      <c r="Y88" s="135"/>
      <c r="Z88" s="135"/>
      <c r="AA88" s="135"/>
      <c r="AB88" s="135"/>
      <c r="AC88" s="135"/>
      <c r="AD88" s="202" t="str">
        <f t="shared" si="10"/>
        <v>BR9125WHMKIEM</v>
      </c>
      <c r="AE88" s="202" t="str">
        <f t="shared" si="11"/>
        <v>BR9125WHM</v>
      </c>
    </row>
    <row r="89" spans="1:31">
      <c r="A89" s="121">
        <v>46094</v>
      </c>
      <c r="B89" s="121" t="s">
        <v>94</v>
      </c>
      <c r="C89" s="123" t="s">
        <v>216</v>
      </c>
      <c r="D89" s="123" t="str">
        <f>IF(C89=" "," ",VLOOKUP(C89,'Dữ Liệu'!$C$7:$D$134,2,FALSE))</f>
        <v>GUA</v>
      </c>
      <c r="E89" s="125" t="s">
        <v>93</v>
      </c>
      <c r="F89" s="146" t="s">
        <v>161</v>
      </c>
      <c r="G89" s="147" t="s">
        <v>166</v>
      </c>
      <c r="H89" s="128">
        <v>52</v>
      </c>
      <c r="I89" s="129">
        <f t="shared" si="6"/>
        <v>52</v>
      </c>
      <c r="J89" s="139">
        <f t="shared" si="12"/>
        <v>0</v>
      </c>
      <c r="K89" s="131"/>
      <c r="L89" s="129"/>
      <c r="M89" s="129"/>
      <c r="N89" s="129"/>
      <c r="O89" s="129"/>
      <c r="P89" s="129"/>
      <c r="Q89" s="132"/>
      <c r="R89" s="129"/>
      <c r="S89" s="133">
        <f t="shared" si="8"/>
        <v>0</v>
      </c>
      <c r="T89" s="134"/>
      <c r="U89" s="135"/>
      <c r="V89" s="135"/>
      <c r="W89" s="135"/>
      <c r="X89" s="135"/>
      <c r="Y89" s="135"/>
      <c r="Z89" s="135"/>
      <c r="AA89" s="135"/>
      <c r="AB89" s="135"/>
      <c r="AC89" s="135"/>
      <c r="AD89" s="202" t="str">
        <f t="shared" si="10"/>
        <v>BR9125WHMTAIKIEM</v>
      </c>
      <c r="AE89" s="202" t="str">
        <f t="shared" si="11"/>
        <v>BR9125WHM</v>
      </c>
    </row>
    <row r="90" spans="1:31">
      <c r="A90" s="121">
        <v>46095</v>
      </c>
      <c r="B90" s="121" t="s">
        <v>92</v>
      </c>
      <c r="C90" s="123" t="s">
        <v>215</v>
      </c>
      <c r="D90" s="123" t="str">
        <f>IF(C90=" "," ",VLOOKUP(C90,'Dữ Liệu'!$C$7:$D$134,2,FALSE))</f>
        <v>GUA</v>
      </c>
      <c r="E90" s="125" t="s">
        <v>93</v>
      </c>
      <c r="F90" s="146" t="s">
        <v>161</v>
      </c>
      <c r="G90" s="149" t="s">
        <v>169</v>
      </c>
      <c r="H90" s="128">
        <v>17</v>
      </c>
      <c r="I90" s="129">
        <f t="shared" si="6"/>
        <v>16</v>
      </c>
      <c r="J90" s="139">
        <f t="shared" si="12"/>
        <v>1</v>
      </c>
      <c r="K90" s="131"/>
      <c r="L90" s="129"/>
      <c r="M90" s="129"/>
      <c r="N90" s="129"/>
      <c r="O90" s="129">
        <v>1</v>
      </c>
      <c r="P90" s="129"/>
      <c r="Q90" s="132"/>
      <c r="R90" s="129"/>
      <c r="S90" s="133">
        <f t="shared" si="8"/>
        <v>5.8823529411764705E-2</v>
      </c>
      <c r="T90" s="134"/>
      <c r="U90" s="135"/>
      <c r="V90" s="135"/>
      <c r="W90" s="135"/>
      <c r="X90" s="135"/>
      <c r="Y90" s="135"/>
      <c r="Z90" s="135"/>
      <c r="AA90" s="135"/>
      <c r="AB90" s="135"/>
      <c r="AC90" s="135"/>
      <c r="AD90" s="202" t="str">
        <f t="shared" si="10"/>
        <v>BR1108WHSKIEM</v>
      </c>
      <c r="AE90" s="202" t="str">
        <f t="shared" si="11"/>
        <v>BR1108WHS</v>
      </c>
    </row>
    <row r="91" spans="1:31">
      <c r="A91" s="121">
        <v>46095</v>
      </c>
      <c r="B91" s="121" t="s">
        <v>92</v>
      </c>
      <c r="C91" s="123" t="s">
        <v>215</v>
      </c>
      <c r="D91" s="123" t="str">
        <f>IF(C91=" "," ",VLOOKUP(C91,'Dữ Liệu'!$C$7:$D$134,2,FALSE))</f>
        <v>GUA</v>
      </c>
      <c r="E91" s="125" t="s">
        <v>93</v>
      </c>
      <c r="F91" s="146" t="s">
        <v>161</v>
      </c>
      <c r="G91" s="147" t="s">
        <v>166</v>
      </c>
      <c r="H91" s="128">
        <v>38</v>
      </c>
      <c r="I91" s="129">
        <f t="shared" si="6"/>
        <v>33</v>
      </c>
      <c r="J91" s="139">
        <f t="shared" si="12"/>
        <v>5</v>
      </c>
      <c r="K91" s="131"/>
      <c r="L91" s="129"/>
      <c r="M91" s="129">
        <v>2</v>
      </c>
      <c r="N91" s="129"/>
      <c r="O91" s="129">
        <v>2</v>
      </c>
      <c r="P91" s="129">
        <v>1</v>
      </c>
      <c r="Q91" s="132"/>
      <c r="R91" s="129"/>
      <c r="S91" s="133">
        <f t="shared" si="8"/>
        <v>0.13157894736842105</v>
      </c>
      <c r="T91" s="134"/>
      <c r="U91" s="135"/>
      <c r="V91" s="135"/>
      <c r="W91" s="135"/>
      <c r="X91" s="135"/>
      <c r="Y91" s="135"/>
      <c r="Z91" s="135"/>
      <c r="AA91" s="135"/>
      <c r="AB91" s="135"/>
      <c r="AC91" s="135"/>
      <c r="AD91" s="202" t="str">
        <f t="shared" si="10"/>
        <v>BR1108WHMKIEM</v>
      </c>
      <c r="AE91" s="202" t="str">
        <f t="shared" si="11"/>
        <v>BR1108WHM</v>
      </c>
    </row>
    <row r="92" spans="1:31">
      <c r="A92" s="121">
        <v>46095</v>
      </c>
      <c r="B92" s="121" t="s">
        <v>92</v>
      </c>
      <c r="C92" s="123" t="s">
        <v>215</v>
      </c>
      <c r="D92" s="123" t="str">
        <f>IF(C92=" "," ",VLOOKUP(C92,'Dữ Liệu'!$C$7:$D$134,2,FALSE))</f>
        <v>GUA</v>
      </c>
      <c r="E92" s="125" t="s">
        <v>93</v>
      </c>
      <c r="F92" s="146" t="s">
        <v>161</v>
      </c>
      <c r="G92" s="127" t="s">
        <v>162</v>
      </c>
      <c r="H92" s="128">
        <v>28</v>
      </c>
      <c r="I92" s="129">
        <f t="shared" si="6"/>
        <v>26</v>
      </c>
      <c r="J92" s="139">
        <f t="shared" si="12"/>
        <v>2</v>
      </c>
      <c r="K92" s="131"/>
      <c r="L92" s="129"/>
      <c r="M92" s="129"/>
      <c r="N92" s="129"/>
      <c r="O92" s="129">
        <v>1</v>
      </c>
      <c r="P92" s="129">
        <v>1</v>
      </c>
      <c r="Q92" s="132"/>
      <c r="R92" s="129"/>
      <c r="S92" s="133">
        <f t="shared" si="8"/>
        <v>7.1428571428571425E-2</v>
      </c>
      <c r="T92" s="134"/>
      <c r="U92" s="135"/>
      <c r="V92" s="135"/>
      <c r="W92" s="135"/>
      <c r="X92" s="135"/>
      <c r="Y92" s="135"/>
      <c r="Z92" s="135"/>
      <c r="AA92" s="135"/>
      <c r="AB92" s="135"/>
      <c r="AC92" s="135"/>
      <c r="AD92" s="202" t="str">
        <f t="shared" si="10"/>
        <v>BR1108WHLKIEM</v>
      </c>
      <c r="AE92" s="202" t="str">
        <f t="shared" si="11"/>
        <v>BR1108WHL</v>
      </c>
    </row>
    <row r="93" spans="1:31">
      <c r="A93" s="121">
        <v>46095</v>
      </c>
      <c r="B93" s="121" t="s">
        <v>92</v>
      </c>
      <c r="C93" s="123" t="s">
        <v>215</v>
      </c>
      <c r="D93" s="123" t="str">
        <f>IF(C93=" "," ",VLOOKUP(C93,'Dữ Liệu'!$C$7:$D$134,2,FALSE))</f>
        <v>GUA</v>
      </c>
      <c r="E93" s="125" t="s">
        <v>93</v>
      </c>
      <c r="F93" s="146" t="s">
        <v>161</v>
      </c>
      <c r="G93" s="127" t="s">
        <v>164</v>
      </c>
      <c r="H93" s="128">
        <v>10</v>
      </c>
      <c r="I93" s="129">
        <f t="shared" si="6"/>
        <v>9</v>
      </c>
      <c r="J93" s="139">
        <f t="shared" si="12"/>
        <v>1</v>
      </c>
      <c r="K93" s="131"/>
      <c r="L93" s="129"/>
      <c r="M93" s="129"/>
      <c r="N93" s="129"/>
      <c r="O93" s="129">
        <v>1</v>
      </c>
      <c r="P93" s="129"/>
      <c r="Q93" s="132"/>
      <c r="R93" s="129"/>
      <c r="S93" s="133">
        <f t="shared" si="8"/>
        <v>0.1</v>
      </c>
      <c r="T93" s="134"/>
      <c r="U93" s="135"/>
      <c r="V93" s="135"/>
      <c r="W93" s="135"/>
      <c r="X93" s="135"/>
      <c r="Y93" s="135"/>
      <c r="Z93" s="135"/>
      <c r="AA93" s="135"/>
      <c r="AB93" s="135"/>
      <c r="AC93" s="135"/>
      <c r="AD93" s="202" t="str">
        <f t="shared" si="10"/>
        <v>BR1108WHLLKIEM</v>
      </c>
      <c r="AE93" s="202" t="str">
        <f t="shared" si="11"/>
        <v>BR1108WHLL</v>
      </c>
    </row>
    <row r="94" spans="1:31">
      <c r="A94" s="121">
        <v>46095</v>
      </c>
      <c r="B94" s="121" t="s">
        <v>94</v>
      </c>
      <c r="C94" s="123" t="s">
        <v>215</v>
      </c>
      <c r="D94" s="123" t="str">
        <f>IF(C94=" "," ",VLOOKUP(C94,'Dữ Liệu'!$C$7:$D$134,2,FALSE))</f>
        <v>GUA</v>
      </c>
      <c r="E94" s="125" t="s">
        <v>93</v>
      </c>
      <c r="F94" s="146" t="s">
        <v>161</v>
      </c>
      <c r="G94" s="127" t="s">
        <v>169</v>
      </c>
      <c r="H94" s="128">
        <v>1</v>
      </c>
      <c r="I94" s="129">
        <f t="shared" si="6"/>
        <v>1</v>
      </c>
      <c r="J94" s="139">
        <f t="shared" si="12"/>
        <v>0</v>
      </c>
      <c r="K94" s="131"/>
      <c r="L94" s="129"/>
      <c r="M94" s="129"/>
      <c r="N94" s="129"/>
      <c r="O94" s="129"/>
      <c r="P94" s="129"/>
      <c r="Q94" s="132"/>
      <c r="R94" s="129"/>
      <c r="S94" s="133">
        <f t="shared" si="8"/>
        <v>0</v>
      </c>
      <c r="T94" s="134"/>
      <c r="U94" s="135"/>
      <c r="V94" s="135"/>
      <c r="W94" s="135"/>
      <c r="X94" s="135"/>
      <c r="Y94" s="135"/>
      <c r="Z94" s="135"/>
      <c r="AA94" s="135"/>
      <c r="AB94" s="135"/>
      <c r="AC94" s="135"/>
      <c r="AD94" s="202" t="str">
        <f t="shared" si="10"/>
        <v>BR1108WHSTAIKIEM</v>
      </c>
      <c r="AE94" s="202" t="str">
        <f t="shared" si="11"/>
        <v>BR1108WHS</v>
      </c>
    </row>
    <row r="95" spans="1:31">
      <c r="A95" s="121">
        <v>46095</v>
      </c>
      <c r="B95" s="121" t="s">
        <v>94</v>
      </c>
      <c r="C95" s="123" t="s">
        <v>215</v>
      </c>
      <c r="D95" s="123" t="str">
        <f>IF(C95=" "," ",VLOOKUP(C95,'Dữ Liệu'!$C$7:$D$134,2,FALSE))</f>
        <v>GUA</v>
      </c>
      <c r="E95" s="125" t="s">
        <v>93</v>
      </c>
      <c r="F95" s="146" t="s">
        <v>161</v>
      </c>
      <c r="G95" s="127" t="s">
        <v>166</v>
      </c>
      <c r="H95" s="128">
        <v>5</v>
      </c>
      <c r="I95" s="129">
        <f t="shared" si="6"/>
        <v>5</v>
      </c>
      <c r="J95" s="139">
        <f t="shared" si="12"/>
        <v>0</v>
      </c>
      <c r="K95" s="131"/>
      <c r="L95" s="129"/>
      <c r="M95" s="129"/>
      <c r="N95" s="129"/>
      <c r="O95" s="129"/>
      <c r="P95" s="129"/>
      <c r="Q95" s="132"/>
      <c r="R95" s="129"/>
      <c r="S95" s="133">
        <f t="shared" si="8"/>
        <v>0</v>
      </c>
      <c r="T95" s="134"/>
      <c r="U95" s="135"/>
      <c r="V95" s="135"/>
      <c r="W95" s="135"/>
      <c r="X95" s="135"/>
      <c r="Y95" s="135"/>
      <c r="Z95" s="135"/>
      <c r="AA95" s="135"/>
      <c r="AB95" s="135"/>
      <c r="AC95" s="135"/>
      <c r="AD95" s="202" t="str">
        <f t="shared" si="10"/>
        <v>BR1108WHMTAIKIEM</v>
      </c>
      <c r="AE95" s="202" t="str">
        <f t="shared" si="11"/>
        <v>BR1108WHM</v>
      </c>
    </row>
    <row r="96" spans="1:31">
      <c r="A96" s="121">
        <v>46095</v>
      </c>
      <c r="B96" s="121" t="s">
        <v>94</v>
      </c>
      <c r="C96" s="123" t="s">
        <v>215</v>
      </c>
      <c r="D96" s="123" t="str">
        <f>IF(C96=" "," ",VLOOKUP(C96,'Dữ Liệu'!$C$7:$D$134,2,FALSE))</f>
        <v>GUA</v>
      </c>
      <c r="E96" s="125" t="s">
        <v>93</v>
      </c>
      <c r="F96" s="146" t="s">
        <v>161</v>
      </c>
      <c r="G96" s="127" t="s">
        <v>162</v>
      </c>
      <c r="H96" s="128">
        <v>2</v>
      </c>
      <c r="I96" s="129">
        <f t="shared" si="6"/>
        <v>2</v>
      </c>
      <c r="J96" s="139">
        <f t="shared" si="12"/>
        <v>0</v>
      </c>
      <c r="K96" s="131"/>
      <c r="L96" s="129"/>
      <c r="M96" s="129"/>
      <c r="N96" s="129"/>
      <c r="O96" s="129"/>
      <c r="P96" s="129"/>
      <c r="Q96" s="132"/>
      <c r="R96" s="129"/>
      <c r="S96" s="133">
        <f t="shared" si="8"/>
        <v>0</v>
      </c>
      <c r="T96" s="134"/>
      <c r="U96" s="135"/>
      <c r="V96" s="135"/>
      <c r="W96" s="135"/>
      <c r="X96" s="135"/>
      <c r="Y96" s="135"/>
      <c r="Z96" s="135"/>
      <c r="AA96" s="135"/>
      <c r="AB96" s="135"/>
      <c r="AC96" s="135"/>
      <c r="AD96" s="202" t="str">
        <f t="shared" si="10"/>
        <v>BR1108WHLTAIKIEM</v>
      </c>
      <c r="AE96" s="202" t="str">
        <f t="shared" si="11"/>
        <v>BR1108WHL</v>
      </c>
    </row>
    <row r="97" spans="1:31">
      <c r="A97" s="121">
        <v>46095</v>
      </c>
      <c r="B97" s="121" t="s">
        <v>94</v>
      </c>
      <c r="C97" s="123" t="s">
        <v>215</v>
      </c>
      <c r="D97" s="123" t="str">
        <f>IF(C97=" "," ",VLOOKUP(C97,'Dữ Liệu'!$C$7:$D$134,2,FALSE))</f>
        <v>GUA</v>
      </c>
      <c r="E97" s="125" t="s">
        <v>93</v>
      </c>
      <c r="F97" s="146" t="s">
        <v>161</v>
      </c>
      <c r="G97" s="127" t="s">
        <v>164</v>
      </c>
      <c r="H97" s="128">
        <v>1</v>
      </c>
      <c r="I97" s="129">
        <f t="shared" si="6"/>
        <v>1</v>
      </c>
      <c r="J97" s="139">
        <f t="shared" si="12"/>
        <v>0</v>
      </c>
      <c r="K97" s="131"/>
      <c r="L97" s="129"/>
      <c r="M97" s="129"/>
      <c r="N97" s="129"/>
      <c r="O97" s="129"/>
      <c r="P97" s="129"/>
      <c r="Q97" s="132"/>
      <c r="R97" s="129"/>
      <c r="S97" s="133">
        <f t="shared" si="8"/>
        <v>0</v>
      </c>
      <c r="T97" s="134"/>
      <c r="U97" s="135"/>
      <c r="V97" s="135"/>
      <c r="W97" s="135"/>
      <c r="X97" s="135"/>
      <c r="Y97" s="135"/>
      <c r="Z97" s="135"/>
      <c r="AA97" s="135"/>
      <c r="AB97" s="135"/>
      <c r="AC97" s="135"/>
      <c r="AD97" s="202" t="str">
        <f t="shared" si="10"/>
        <v>BR1108WHLLTAIKIEM</v>
      </c>
      <c r="AE97" s="202" t="str">
        <f t="shared" si="11"/>
        <v>BR1108WHLL</v>
      </c>
    </row>
    <row r="98" spans="1:31">
      <c r="A98" s="121">
        <v>46095</v>
      </c>
      <c r="B98" s="121" t="s">
        <v>92</v>
      </c>
      <c r="C98" s="123" t="s">
        <v>216</v>
      </c>
      <c r="D98" s="123" t="str">
        <f>IF(C98=" "," ",VLOOKUP(C98,'Dữ Liệu'!$C$7:$D$134,2,FALSE))</f>
        <v>GUA</v>
      </c>
      <c r="E98" s="125" t="s">
        <v>93</v>
      </c>
      <c r="F98" s="146" t="s">
        <v>161</v>
      </c>
      <c r="G98" s="127" t="s">
        <v>162</v>
      </c>
      <c r="H98" s="128">
        <v>188</v>
      </c>
      <c r="I98" s="129">
        <f t="shared" si="6"/>
        <v>163</v>
      </c>
      <c r="J98" s="139">
        <f t="shared" si="12"/>
        <v>25</v>
      </c>
      <c r="K98" s="131">
        <v>1</v>
      </c>
      <c r="L98" s="129"/>
      <c r="M98" s="129">
        <v>3</v>
      </c>
      <c r="N98" s="129"/>
      <c r="O98" s="129">
        <v>14</v>
      </c>
      <c r="P98" s="129">
        <v>7</v>
      </c>
      <c r="Q98" s="132"/>
      <c r="R98" s="129"/>
      <c r="S98" s="133">
        <f t="shared" si="8"/>
        <v>0.13297872340425532</v>
      </c>
      <c r="T98" s="134"/>
      <c r="U98" s="135"/>
      <c r="V98" s="135"/>
      <c r="W98" s="135"/>
      <c r="X98" s="135"/>
      <c r="Y98" s="135"/>
      <c r="Z98" s="135"/>
      <c r="AA98" s="135"/>
      <c r="AB98" s="135"/>
      <c r="AC98" s="135"/>
      <c r="AD98" s="202" t="str">
        <f t="shared" si="10"/>
        <v>BR9125WHLKIEM</v>
      </c>
      <c r="AE98" s="202" t="str">
        <f t="shared" si="11"/>
        <v>BR9125WHL</v>
      </c>
    </row>
    <row r="99" spans="1:31">
      <c r="A99" s="121">
        <v>46095</v>
      </c>
      <c r="B99" s="121" t="s">
        <v>92</v>
      </c>
      <c r="C99" s="123" t="s">
        <v>216</v>
      </c>
      <c r="D99" s="123" t="str">
        <f>IF(C99=" "," ",VLOOKUP(C99,'Dữ Liệu'!$C$7:$D$134,2,FALSE))</f>
        <v>GUA</v>
      </c>
      <c r="E99" s="125" t="s">
        <v>93</v>
      </c>
      <c r="F99" s="146" t="s">
        <v>161</v>
      </c>
      <c r="G99" s="127" t="s">
        <v>164</v>
      </c>
      <c r="H99" s="128">
        <v>104</v>
      </c>
      <c r="I99" s="129">
        <f t="shared" si="6"/>
        <v>93</v>
      </c>
      <c r="J99" s="139">
        <f t="shared" si="12"/>
        <v>11</v>
      </c>
      <c r="K99" s="131"/>
      <c r="L99" s="129"/>
      <c r="M99" s="129">
        <v>2</v>
      </c>
      <c r="N99" s="129"/>
      <c r="O99" s="129">
        <v>6</v>
      </c>
      <c r="P99" s="129">
        <v>3</v>
      </c>
      <c r="Q99" s="132"/>
      <c r="R99" s="129"/>
      <c r="S99" s="133">
        <f t="shared" si="8"/>
        <v>0.10576923076923077</v>
      </c>
      <c r="T99" s="134"/>
      <c r="U99" s="135"/>
      <c r="V99" s="135"/>
      <c r="W99" s="135"/>
      <c r="X99" s="135"/>
      <c r="Y99" s="135"/>
      <c r="Z99" s="135"/>
      <c r="AA99" s="135"/>
      <c r="AB99" s="135"/>
      <c r="AC99" s="135"/>
      <c r="AD99" s="202" t="str">
        <f t="shared" si="10"/>
        <v>BR9125WHLLKIEM</v>
      </c>
      <c r="AE99" s="202" t="str">
        <f t="shared" si="11"/>
        <v>BR9125WHLL</v>
      </c>
    </row>
    <row r="100" spans="1:31">
      <c r="A100" s="121">
        <v>46095</v>
      </c>
      <c r="B100" s="121" t="s">
        <v>94</v>
      </c>
      <c r="C100" s="123" t="s">
        <v>216</v>
      </c>
      <c r="D100" s="123" t="str">
        <f>IF(C100=" "," ",VLOOKUP(C100,'Dữ Liệu'!$C$7:$D$134,2,FALSE))</f>
        <v>GUA</v>
      </c>
      <c r="E100" s="125" t="s">
        <v>93</v>
      </c>
      <c r="F100" s="146" t="s">
        <v>161</v>
      </c>
      <c r="G100" s="127" t="s">
        <v>162</v>
      </c>
      <c r="H100" s="128">
        <v>25</v>
      </c>
      <c r="I100" s="129">
        <f t="shared" si="6"/>
        <v>25</v>
      </c>
      <c r="J100" s="139">
        <f t="shared" si="12"/>
        <v>0</v>
      </c>
      <c r="K100" s="131"/>
      <c r="L100" s="129"/>
      <c r="M100" s="129"/>
      <c r="N100" s="129"/>
      <c r="O100" s="129"/>
      <c r="P100" s="129"/>
      <c r="Q100" s="132"/>
      <c r="R100" s="129"/>
      <c r="S100" s="133">
        <f t="shared" si="8"/>
        <v>0</v>
      </c>
      <c r="T100" s="134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202" t="str">
        <f t="shared" si="10"/>
        <v>BR9125WHLTAIKIEM</v>
      </c>
      <c r="AE100" s="202" t="str">
        <f t="shared" si="11"/>
        <v>BR9125WHL</v>
      </c>
    </row>
    <row r="101" spans="1:31">
      <c r="A101" s="121">
        <v>46095</v>
      </c>
      <c r="B101" s="121" t="s">
        <v>94</v>
      </c>
      <c r="C101" s="123" t="s">
        <v>216</v>
      </c>
      <c r="D101" s="123" t="str">
        <f>IF(C101=" "," ",VLOOKUP(C101,'Dữ Liệu'!$C$7:$D$134,2,FALSE))</f>
        <v>GUA</v>
      </c>
      <c r="E101" s="125" t="s">
        <v>93</v>
      </c>
      <c r="F101" s="146" t="s">
        <v>161</v>
      </c>
      <c r="G101" s="127" t="s">
        <v>164</v>
      </c>
      <c r="H101" s="128">
        <v>11</v>
      </c>
      <c r="I101" s="129">
        <f t="shared" si="6"/>
        <v>11</v>
      </c>
      <c r="J101" s="139">
        <f t="shared" si="12"/>
        <v>0</v>
      </c>
      <c r="K101" s="131"/>
      <c r="L101" s="129"/>
      <c r="M101" s="129"/>
      <c r="N101" s="129"/>
      <c r="O101" s="129"/>
      <c r="P101" s="129"/>
      <c r="Q101" s="132"/>
      <c r="R101" s="129"/>
      <c r="S101" s="133">
        <f t="shared" si="8"/>
        <v>0</v>
      </c>
      <c r="T101" s="134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202" t="str">
        <f t="shared" si="10"/>
        <v>BR9125WHLLTAIKIEM</v>
      </c>
      <c r="AE101" s="202" t="str">
        <f t="shared" si="11"/>
        <v>BR9125WHLL</v>
      </c>
    </row>
    <row r="102" spans="1:31">
      <c r="A102" s="121">
        <v>46097</v>
      </c>
      <c r="B102" s="121" t="s">
        <v>92</v>
      </c>
      <c r="C102" s="123" t="s">
        <v>216</v>
      </c>
      <c r="D102" s="123" t="str">
        <f>IF(C102=" "," ",VLOOKUP(C102,'Dữ Liệu'!$C$7:$D$134,2,FALSE))</f>
        <v>GUA</v>
      </c>
      <c r="E102" s="125" t="s">
        <v>93</v>
      </c>
      <c r="F102" s="146" t="s">
        <v>161</v>
      </c>
      <c r="G102" s="127" t="s">
        <v>169</v>
      </c>
      <c r="H102" s="128">
        <v>133</v>
      </c>
      <c r="I102" s="129">
        <f t="shared" si="6"/>
        <v>115</v>
      </c>
      <c r="J102" s="139">
        <f t="shared" si="12"/>
        <v>18</v>
      </c>
      <c r="K102" s="131"/>
      <c r="L102" s="129"/>
      <c r="M102" s="129">
        <v>2</v>
      </c>
      <c r="N102" s="129"/>
      <c r="O102" s="129">
        <v>12</v>
      </c>
      <c r="P102" s="129">
        <v>4</v>
      </c>
      <c r="Q102" s="132"/>
      <c r="R102" s="129"/>
      <c r="S102" s="133">
        <f t="shared" si="8"/>
        <v>0.13533834586466165</v>
      </c>
      <c r="T102" s="134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202" t="str">
        <f t="shared" si="10"/>
        <v>BR9125WHSKIEM</v>
      </c>
      <c r="AE102" s="202" t="str">
        <f t="shared" si="11"/>
        <v>BR9125WHS</v>
      </c>
    </row>
    <row r="103" spans="1:31">
      <c r="A103" s="121">
        <v>46097</v>
      </c>
      <c r="B103" s="121" t="s">
        <v>92</v>
      </c>
      <c r="C103" s="123" t="s">
        <v>216</v>
      </c>
      <c r="D103" s="123" t="str">
        <f>IF(C103=" "," ",VLOOKUP(C103,'Dữ Liệu'!$C$7:$D$134,2,FALSE))</f>
        <v>GUA</v>
      </c>
      <c r="E103" s="125" t="s">
        <v>93</v>
      </c>
      <c r="F103" s="146" t="s">
        <v>161</v>
      </c>
      <c r="G103" s="127" t="s">
        <v>166</v>
      </c>
      <c r="H103" s="128">
        <v>184</v>
      </c>
      <c r="I103" s="129">
        <f t="shared" si="6"/>
        <v>160</v>
      </c>
      <c r="J103" s="139">
        <f t="shared" si="12"/>
        <v>24</v>
      </c>
      <c r="K103" s="131"/>
      <c r="L103" s="129"/>
      <c r="M103" s="129">
        <v>4</v>
      </c>
      <c r="N103" s="129"/>
      <c r="O103" s="129">
        <v>13</v>
      </c>
      <c r="P103" s="129">
        <v>7</v>
      </c>
      <c r="Q103" s="132"/>
      <c r="R103" s="129"/>
      <c r="S103" s="133">
        <f t="shared" si="8"/>
        <v>0.13043478260869565</v>
      </c>
      <c r="T103" s="134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202" t="str">
        <f t="shared" si="10"/>
        <v>BR9125WHMKIEM</v>
      </c>
      <c r="AE103" s="202" t="str">
        <f t="shared" si="11"/>
        <v>BR9125WHM</v>
      </c>
    </row>
    <row r="104" spans="1:31">
      <c r="A104" s="121">
        <v>46097</v>
      </c>
      <c r="B104" s="121" t="s">
        <v>92</v>
      </c>
      <c r="C104" s="123" t="s">
        <v>216</v>
      </c>
      <c r="D104" s="123" t="str">
        <f>IF(C104=" "," ",VLOOKUP(C104,'Dữ Liệu'!$C$7:$D$134,2,FALSE))</f>
        <v>GUA</v>
      </c>
      <c r="E104" s="125" t="s">
        <v>93</v>
      </c>
      <c r="F104" s="146" t="s">
        <v>161</v>
      </c>
      <c r="G104" s="127" t="s">
        <v>164</v>
      </c>
      <c r="H104" s="128">
        <v>24</v>
      </c>
      <c r="I104" s="129">
        <f t="shared" si="6"/>
        <v>21</v>
      </c>
      <c r="J104" s="139">
        <f t="shared" si="12"/>
        <v>3</v>
      </c>
      <c r="K104" s="131"/>
      <c r="L104" s="129"/>
      <c r="M104" s="129">
        <v>1</v>
      </c>
      <c r="N104" s="129"/>
      <c r="O104" s="129">
        <v>2</v>
      </c>
      <c r="P104" s="129"/>
      <c r="Q104" s="132"/>
      <c r="R104" s="129"/>
      <c r="S104" s="133">
        <f t="shared" si="8"/>
        <v>0.125</v>
      </c>
      <c r="T104" s="134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202" t="str">
        <f t="shared" si="10"/>
        <v>BR9125WHLLKIEM</v>
      </c>
      <c r="AE104" s="202" t="str">
        <f t="shared" si="11"/>
        <v>BR9125WHLL</v>
      </c>
    </row>
    <row r="105" spans="1:31">
      <c r="A105" s="121">
        <v>46097</v>
      </c>
      <c r="B105" s="121" t="s">
        <v>92</v>
      </c>
      <c r="C105" s="123" t="s">
        <v>216</v>
      </c>
      <c r="D105" s="123" t="str">
        <f>IF(C105=" "," ",VLOOKUP(C105,'Dữ Liệu'!$C$7:$D$134,2,FALSE))</f>
        <v>GUA</v>
      </c>
      <c r="E105" s="125" t="s">
        <v>93</v>
      </c>
      <c r="F105" s="146" t="s">
        <v>161</v>
      </c>
      <c r="G105" s="127" t="s">
        <v>172</v>
      </c>
      <c r="H105" s="128">
        <v>23</v>
      </c>
      <c r="I105" s="129">
        <f t="shared" si="6"/>
        <v>21</v>
      </c>
      <c r="J105" s="139">
        <f t="shared" si="12"/>
        <v>2</v>
      </c>
      <c r="K105" s="131"/>
      <c r="L105" s="129"/>
      <c r="M105" s="129"/>
      <c r="N105" s="129"/>
      <c r="O105" s="129">
        <v>2</v>
      </c>
      <c r="P105" s="129"/>
      <c r="Q105" s="132"/>
      <c r="R105" s="129"/>
      <c r="S105" s="133">
        <f t="shared" si="8"/>
        <v>8.6956521739130432E-2</v>
      </c>
      <c r="T105" s="134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202" t="str">
        <f t="shared" si="10"/>
        <v>BR9125WHELKIEM</v>
      </c>
      <c r="AE105" s="202" t="str">
        <f t="shared" si="11"/>
        <v>BR9125WHEL</v>
      </c>
    </row>
    <row r="106" spans="1:31">
      <c r="A106" s="121">
        <v>46097</v>
      </c>
      <c r="B106" s="121" t="s">
        <v>92</v>
      </c>
      <c r="C106" s="123" t="s">
        <v>216</v>
      </c>
      <c r="D106" s="123" t="str">
        <f>IF(C106=" "," ",VLOOKUP(C106,'Dữ Liệu'!$C$7:$D$134,2,FALSE))</f>
        <v>GUA</v>
      </c>
      <c r="E106" s="125" t="s">
        <v>93</v>
      </c>
      <c r="F106" s="146" t="s">
        <v>161</v>
      </c>
      <c r="G106" s="141" t="s">
        <v>173</v>
      </c>
      <c r="H106" s="128">
        <v>14</v>
      </c>
      <c r="I106" s="129">
        <f t="shared" si="6"/>
        <v>13</v>
      </c>
      <c r="J106" s="139">
        <f t="shared" si="12"/>
        <v>1</v>
      </c>
      <c r="K106" s="131"/>
      <c r="L106" s="129"/>
      <c r="M106" s="129">
        <v>1</v>
      </c>
      <c r="N106" s="129"/>
      <c r="O106" s="129"/>
      <c r="P106" s="129"/>
      <c r="Q106" s="132"/>
      <c r="R106" s="129"/>
      <c r="S106" s="133">
        <f t="shared" si="8"/>
        <v>7.1428571428571425E-2</v>
      </c>
      <c r="T106" s="134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202" t="str">
        <f t="shared" si="10"/>
        <v>BR9125WH4LKIEM</v>
      </c>
      <c r="AE106" s="202" t="str">
        <f t="shared" si="11"/>
        <v>BR9125WH4L</v>
      </c>
    </row>
    <row r="107" spans="1:31">
      <c r="A107" s="121">
        <v>46097</v>
      </c>
      <c r="B107" s="121" t="s">
        <v>92</v>
      </c>
      <c r="C107" s="123" t="s">
        <v>216</v>
      </c>
      <c r="D107" s="123" t="str">
        <f>IF(C107=" "," ",VLOOKUP(C107,'Dữ Liệu'!$C$7:$D$134,2,FALSE))</f>
        <v>GUA</v>
      </c>
      <c r="E107" s="125" t="s">
        <v>93</v>
      </c>
      <c r="F107" s="146" t="s">
        <v>161</v>
      </c>
      <c r="G107" s="127" t="s">
        <v>175</v>
      </c>
      <c r="H107" s="128">
        <v>13</v>
      </c>
      <c r="I107" s="129">
        <f t="shared" si="6"/>
        <v>12</v>
      </c>
      <c r="J107" s="139">
        <f t="shared" si="12"/>
        <v>1</v>
      </c>
      <c r="K107" s="131"/>
      <c r="L107" s="129"/>
      <c r="M107" s="129"/>
      <c r="N107" s="129"/>
      <c r="O107" s="129">
        <v>1</v>
      </c>
      <c r="P107" s="129"/>
      <c r="Q107" s="132"/>
      <c r="R107" s="129"/>
      <c r="S107" s="133">
        <f t="shared" si="8"/>
        <v>7.6923076923076927E-2</v>
      </c>
      <c r="T107" s="134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202" t="str">
        <f t="shared" si="10"/>
        <v>BR9125WH5LKIEM</v>
      </c>
      <c r="AE107" s="202" t="str">
        <f t="shared" si="11"/>
        <v>BR9125WH5L</v>
      </c>
    </row>
    <row r="108" spans="1:31">
      <c r="A108" s="121">
        <v>46097</v>
      </c>
      <c r="B108" s="121" t="s">
        <v>94</v>
      </c>
      <c r="C108" s="123" t="s">
        <v>216</v>
      </c>
      <c r="D108" s="123" t="str">
        <f>IF(C108=" "," ",VLOOKUP(C108,'Dữ Liệu'!$C$7:$D$134,2,FALSE))</f>
        <v>GUA</v>
      </c>
      <c r="E108" s="125" t="s">
        <v>93</v>
      </c>
      <c r="F108" s="146" t="s">
        <v>161</v>
      </c>
      <c r="G108" s="127" t="s">
        <v>169</v>
      </c>
      <c r="H108" s="128">
        <v>18</v>
      </c>
      <c r="I108" s="129">
        <f t="shared" si="6"/>
        <v>18</v>
      </c>
      <c r="J108" s="139">
        <f t="shared" si="12"/>
        <v>0</v>
      </c>
      <c r="K108" s="131"/>
      <c r="L108" s="129"/>
      <c r="M108" s="129"/>
      <c r="N108" s="129"/>
      <c r="O108" s="129"/>
      <c r="P108" s="129"/>
      <c r="Q108" s="132"/>
      <c r="R108" s="129"/>
      <c r="S108" s="133">
        <f t="shared" si="8"/>
        <v>0</v>
      </c>
      <c r="T108" s="134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202" t="str">
        <f t="shared" si="10"/>
        <v>BR9125WHSTAIKIEM</v>
      </c>
      <c r="AE108" s="202" t="str">
        <f t="shared" si="11"/>
        <v>BR9125WHS</v>
      </c>
    </row>
    <row r="109" spans="1:31">
      <c r="A109" s="121">
        <v>46097</v>
      </c>
      <c r="B109" s="121" t="s">
        <v>94</v>
      </c>
      <c r="C109" s="123" t="s">
        <v>216</v>
      </c>
      <c r="D109" s="123" t="str">
        <f>IF(C109=" "," ",VLOOKUP(C109,'Dữ Liệu'!$C$7:$D$134,2,FALSE))</f>
        <v>GUA</v>
      </c>
      <c r="E109" s="125" t="s">
        <v>93</v>
      </c>
      <c r="F109" s="146" t="s">
        <v>161</v>
      </c>
      <c r="G109" s="127" t="s">
        <v>166</v>
      </c>
      <c r="H109" s="128">
        <v>24</v>
      </c>
      <c r="I109" s="129">
        <f t="shared" si="6"/>
        <v>24</v>
      </c>
      <c r="J109" s="139">
        <f t="shared" si="12"/>
        <v>0</v>
      </c>
      <c r="K109" s="131"/>
      <c r="L109" s="129"/>
      <c r="M109" s="129"/>
      <c r="N109" s="129"/>
      <c r="O109" s="129"/>
      <c r="P109" s="129"/>
      <c r="Q109" s="132"/>
      <c r="R109" s="129"/>
      <c r="S109" s="133">
        <f t="shared" si="8"/>
        <v>0</v>
      </c>
      <c r="T109" s="134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202" t="str">
        <f t="shared" si="10"/>
        <v>BR9125WHMTAIKIEM</v>
      </c>
      <c r="AE109" s="202" t="str">
        <f t="shared" si="11"/>
        <v>BR9125WHM</v>
      </c>
    </row>
    <row r="110" spans="1:31">
      <c r="A110" s="121">
        <v>46097</v>
      </c>
      <c r="B110" s="121" t="s">
        <v>94</v>
      </c>
      <c r="C110" s="123" t="s">
        <v>216</v>
      </c>
      <c r="D110" s="123" t="str">
        <f>IF(C110=" "," ",VLOOKUP(C110,'Dữ Liệu'!$C$7:$D$134,2,FALSE))</f>
        <v>GUA</v>
      </c>
      <c r="E110" s="125" t="s">
        <v>93</v>
      </c>
      <c r="F110" s="146" t="s">
        <v>161</v>
      </c>
      <c r="G110" s="127" t="s">
        <v>164</v>
      </c>
      <c r="H110" s="128">
        <v>3</v>
      </c>
      <c r="I110" s="129">
        <f t="shared" si="6"/>
        <v>3</v>
      </c>
      <c r="J110" s="139">
        <f t="shared" si="12"/>
        <v>0</v>
      </c>
      <c r="K110" s="131"/>
      <c r="L110" s="129"/>
      <c r="M110" s="129"/>
      <c r="N110" s="129"/>
      <c r="O110" s="129"/>
      <c r="P110" s="129"/>
      <c r="Q110" s="132"/>
      <c r="R110" s="129"/>
      <c r="S110" s="133">
        <f t="shared" si="8"/>
        <v>0</v>
      </c>
      <c r="T110" s="134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202" t="str">
        <f t="shared" si="10"/>
        <v>BR9125WHLLTAIKIEM</v>
      </c>
      <c r="AE110" s="202" t="str">
        <f t="shared" si="11"/>
        <v>BR9125WHLL</v>
      </c>
    </row>
    <row r="111" spans="1:31">
      <c r="A111" s="121">
        <v>46097</v>
      </c>
      <c r="B111" s="121" t="s">
        <v>94</v>
      </c>
      <c r="C111" s="123" t="s">
        <v>216</v>
      </c>
      <c r="D111" s="123" t="str">
        <f>IF(C111=" "," ",VLOOKUP(C111,'Dữ Liệu'!$C$7:$D$134,2,FALSE))</f>
        <v>GUA</v>
      </c>
      <c r="E111" s="125" t="s">
        <v>93</v>
      </c>
      <c r="F111" s="146" t="s">
        <v>161</v>
      </c>
      <c r="G111" s="127" t="s">
        <v>172</v>
      </c>
      <c r="H111" s="128">
        <v>2</v>
      </c>
      <c r="I111" s="129">
        <f t="shared" si="6"/>
        <v>2</v>
      </c>
      <c r="J111" s="139">
        <f t="shared" si="12"/>
        <v>0</v>
      </c>
      <c r="K111" s="131"/>
      <c r="L111" s="129"/>
      <c r="M111" s="129"/>
      <c r="N111" s="129"/>
      <c r="O111" s="129"/>
      <c r="P111" s="129"/>
      <c r="Q111" s="132"/>
      <c r="R111" s="129"/>
      <c r="S111" s="133">
        <f t="shared" si="8"/>
        <v>0</v>
      </c>
      <c r="T111" s="134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202" t="str">
        <f t="shared" si="10"/>
        <v>BR9125WHELTAIKIEM</v>
      </c>
      <c r="AE111" s="202" t="str">
        <f t="shared" si="11"/>
        <v>BR9125WHEL</v>
      </c>
    </row>
    <row r="112" spans="1:31">
      <c r="A112" s="121">
        <v>46097</v>
      </c>
      <c r="B112" s="121" t="s">
        <v>94</v>
      </c>
      <c r="C112" s="123" t="s">
        <v>216</v>
      </c>
      <c r="D112" s="123" t="str">
        <f>IF(C112=" "," ",VLOOKUP(C112,'Dữ Liệu'!$C$7:$D$134,2,FALSE))</f>
        <v>GUA</v>
      </c>
      <c r="E112" s="125" t="s">
        <v>93</v>
      </c>
      <c r="F112" s="146" t="s">
        <v>161</v>
      </c>
      <c r="G112" s="143" t="s">
        <v>173</v>
      </c>
      <c r="H112" s="128">
        <v>1</v>
      </c>
      <c r="I112" s="129">
        <f t="shared" si="6"/>
        <v>1</v>
      </c>
      <c r="J112" s="139">
        <f t="shared" si="12"/>
        <v>0</v>
      </c>
      <c r="K112" s="131"/>
      <c r="L112" s="129"/>
      <c r="M112" s="129"/>
      <c r="N112" s="129"/>
      <c r="O112" s="129"/>
      <c r="P112" s="129"/>
      <c r="Q112" s="132"/>
      <c r="R112" s="129"/>
      <c r="S112" s="133">
        <f t="shared" si="8"/>
        <v>0</v>
      </c>
      <c r="T112" s="134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202" t="str">
        <f t="shared" si="10"/>
        <v>BR9125WH4LTAIKIEM</v>
      </c>
      <c r="AE112" s="202" t="str">
        <f t="shared" si="11"/>
        <v>BR9125WH4L</v>
      </c>
    </row>
    <row r="113" spans="1:31">
      <c r="A113" s="121">
        <v>46097</v>
      </c>
      <c r="B113" s="121" t="s">
        <v>94</v>
      </c>
      <c r="C113" s="123" t="s">
        <v>216</v>
      </c>
      <c r="D113" s="123" t="str">
        <f>IF(C113=" "," ",VLOOKUP(C113,'Dữ Liệu'!$C$7:$D$134,2,FALSE))</f>
        <v>GUA</v>
      </c>
      <c r="E113" s="125" t="s">
        <v>93</v>
      </c>
      <c r="F113" s="146" t="s">
        <v>161</v>
      </c>
      <c r="G113" s="144" t="s">
        <v>175</v>
      </c>
      <c r="H113" s="128">
        <v>1</v>
      </c>
      <c r="I113" s="129">
        <f t="shared" si="6"/>
        <v>1</v>
      </c>
      <c r="J113" s="139">
        <f t="shared" si="12"/>
        <v>0</v>
      </c>
      <c r="K113" s="131"/>
      <c r="L113" s="129"/>
      <c r="M113" s="129"/>
      <c r="N113" s="129"/>
      <c r="O113" s="129"/>
      <c r="P113" s="129"/>
      <c r="Q113" s="132"/>
      <c r="R113" s="129"/>
      <c r="S113" s="133">
        <f t="shared" si="8"/>
        <v>0</v>
      </c>
      <c r="T113" s="134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202" t="str">
        <f t="shared" si="10"/>
        <v>BR9125WH5LTAIKIEM</v>
      </c>
      <c r="AE113" s="202" t="str">
        <f t="shared" si="11"/>
        <v>BR9125WH5L</v>
      </c>
    </row>
    <row r="114" spans="1:31">
      <c r="A114" s="121"/>
      <c r="B114" s="121"/>
      <c r="C114" s="123"/>
      <c r="D114" s="140"/>
      <c r="E114" s="123"/>
      <c r="F114" s="126"/>
      <c r="G114" s="127"/>
      <c r="H114" s="128"/>
      <c r="I114" s="129">
        <f t="shared" si="6"/>
        <v>0</v>
      </c>
      <c r="J114" s="139">
        <f t="shared" si="12"/>
        <v>0</v>
      </c>
      <c r="K114" s="131"/>
      <c r="L114" s="129"/>
      <c r="M114" s="129"/>
      <c r="N114" s="129"/>
      <c r="O114" s="129"/>
      <c r="P114" s="129"/>
      <c r="Q114" s="132"/>
      <c r="R114" s="129"/>
      <c r="S114" s="133" t="e">
        <f t="shared" si="8"/>
        <v>#DIV/0!</v>
      </c>
      <c r="T114" s="134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202" t="str">
        <f t="shared" si="10"/>
        <v/>
      </c>
      <c r="AE114" s="202" t="str">
        <f t="shared" si="11"/>
        <v/>
      </c>
    </row>
    <row r="115" spans="1:31">
      <c r="A115" s="121"/>
      <c r="B115" s="121"/>
      <c r="C115" s="123"/>
      <c r="D115" s="140"/>
      <c r="E115" s="123"/>
      <c r="F115" s="126"/>
      <c r="G115" s="127"/>
      <c r="H115" s="128"/>
      <c r="I115" s="129">
        <f t="shared" si="6"/>
        <v>0</v>
      </c>
      <c r="J115" s="139">
        <f t="shared" si="12"/>
        <v>0</v>
      </c>
      <c r="K115" s="131"/>
      <c r="L115" s="129"/>
      <c r="M115" s="129"/>
      <c r="N115" s="129"/>
      <c r="O115" s="129"/>
      <c r="P115" s="129"/>
      <c r="Q115" s="132"/>
      <c r="R115" s="129"/>
      <c r="S115" s="133" t="e">
        <f t="shared" si="8"/>
        <v>#DIV/0!</v>
      </c>
      <c r="T115" s="134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202" t="str">
        <f t="shared" si="10"/>
        <v/>
      </c>
      <c r="AE115" s="202" t="str">
        <f t="shared" si="11"/>
        <v/>
      </c>
    </row>
    <row r="116" spans="1:31">
      <c r="A116" s="121"/>
      <c r="B116" s="121"/>
      <c r="C116" s="123"/>
      <c r="D116" s="140"/>
      <c r="E116" s="123"/>
      <c r="F116" s="126"/>
      <c r="G116" s="127"/>
      <c r="H116" s="128"/>
      <c r="I116" s="129">
        <f t="shared" si="6"/>
        <v>0</v>
      </c>
      <c r="J116" s="139">
        <f t="shared" si="12"/>
        <v>0</v>
      </c>
      <c r="K116" s="131"/>
      <c r="L116" s="129"/>
      <c r="M116" s="129"/>
      <c r="N116" s="129"/>
      <c r="O116" s="129"/>
      <c r="P116" s="129"/>
      <c r="Q116" s="132"/>
      <c r="R116" s="129"/>
      <c r="S116" s="133" t="e">
        <f t="shared" si="8"/>
        <v>#DIV/0!</v>
      </c>
      <c r="T116" s="134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202" t="str">
        <f t="shared" si="10"/>
        <v/>
      </c>
      <c r="AE116" s="202" t="str">
        <f t="shared" si="11"/>
        <v/>
      </c>
    </row>
    <row r="117" spans="1:31">
      <c r="A117" s="121"/>
      <c r="B117" s="121"/>
      <c r="C117" s="123"/>
      <c r="D117" s="140"/>
      <c r="E117" s="123"/>
      <c r="F117" s="126"/>
      <c r="G117" s="127"/>
      <c r="H117" s="128"/>
      <c r="I117" s="129">
        <f t="shared" si="6"/>
        <v>0</v>
      </c>
      <c r="J117" s="139">
        <f t="shared" si="12"/>
        <v>0</v>
      </c>
      <c r="K117" s="131"/>
      <c r="L117" s="129"/>
      <c r="M117" s="129"/>
      <c r="N117" s="129"/>
      <c r="O117" s="129"/>
      <c r="P117" s="129"/>
      <c r="Q117" s="132"/>
      <c r="R117" s="129"/>
      <c r="S117" s="133" t="e">
        <f t="shared" si="8"/>
        <v>#DIV/0!</v>
      </c>
      <c r="T117" s="134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202" t="str">
        <f t="shared" si="10"/>
        <v/>
      </c>
      <c r="AE117" s="202" t="str">
        <f t="shared" si="11"/>
        <v/>
      </c>
    </row>
    <row r="118" spans="1:31">
      <c r="A118" s="121"/>
      <c r="B118" s="121"/>
      <c r="C118" s="123"/>
      <c r="D118" s="140"/>
      <c r="E118" s="123"/>
      <c r="F118" s="126"/>
      <c r="G118" s="127"/>
      <c r="H118" s="128"/>
      <c r="I118" s="129">
        <f t="shared" si="6"/>
        <v>0</v>
      </c>
      <c r="J118" s="139">
        <f t="shared" si="12"/>
        <v>0</v>
      </c>
      <c r="K118" s="131"/>
      <c r="L118" s="129"/>
      <c r="M118" s="129"/>
      <c r="N118" s="129"/>
      <c r="O118" s="129"/>
      <c r="P118" s="129"/>
      <c r="Q118" s="132"/>
      <c r="R118" s="129"/>
      <c r="S118" s="133" t="e">
        <f t="shared" si="8"/>
        <v>#DIV/0!</v>
      </c>
      <c r="T118" s="134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202" t="str">
        <f t="shared" si="10"/>
        <v/>
      </c>
      <c r="AE118" s="202" t="str">
        <f t="shared" si="11"/>
        <v/>
      </c>
    </row>
    <row r="119" spans="1:31">
      <c r="A119" s="121"/>
      <c r="B119" s="121"/>
      <c r="C119" s="123"/>
      <c r="D119" s="140"/>
      <c r="E119" s="123"/>
      <c r="F119" s="150"/>
      <c r="G119" s="127"/>
      <c r="H119" s="128"/>
      <c r="I119" s="129">
        <f t="shared" si="6"/>
        <v>0</v>
      </c>
      <c r="J119" s="139">
        <f t="shared" si="12"/>
        <v>0</v>
      </c>
      <c r="K119" s="131"/>
      <c r="L119" s="129"/>
      <c r="M119" s="129"/>
      <c r="N119" s="129"/>
      <c r="O119" s="129"/>
      <c r="P119" s="129"/>
      <c r="Q119" s="132"/>
      <c r="R119" s="129"/>
      <c r="S119" s="133" t="e">
        <f t="shared" si="8"/>
        <v>#DIV/0!</v>
      </c>
      <c r="T119" s="134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202" t="str">
        <f t="shared" si="10"/>
        <v/>
      </c>
      <c r="AE119" s="202" t="str">
        <f t="shared" si="11"/>
        <v/>
      </c>
    </row>
    <row r="120" spans="1:31">
      <c r="A120" s="121"/>
      <c r="B120" s="121"/>
      <c r="C120" s="123"/>
      <c r="D120" s="140"/>
      <c r="E120" s="123"/>
      <c r="F120" s="150"/>
      <c r="G120" s="127"/>
      <c r="H120" s="128"/>
      <c r="I120" s="129">
        <f t="shared" si="6"/>
        <v>0</v>
      </c>
      <c r="J120" s="139">
        <f t="shared" si="12"/>
        <v>0</v>
      </c>
      <c r="K120" s="131"/>
      <c r="L120" s="129"/>
      <c r="M120" s="129"/>
      <c r="N120" s="129"/>
      <c r="O120" s="129"/>
      <c r="P120" s="129"/>
      <c r="Q120" s="132"/>
      <c r="R120" s="129"/>
      <c r="S120" s="133" t="e">
        <f t="shared" si="8"/>
        <v>#DIV/0!</v>
      </c>
      <c r="T120" s="134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202" t="str">
        <f t="shared" si="10"/>
        <v/>
      </c>
      <c r="AE120" s="202" t="str">
        <f t="shared" si="11"/>
        <v/>
      </c>
    </row>
    <row r="121" spans="1:31">
      <c r="A121" s="121"/>
      <c r="B121" s="121"/>
      <c r="C121" s="123"/>
      <c r="D121" s="140"/>
      <c r="E121" s="123"/>
      <c r="F121" s="150"/>
      <c r="G121" s="127"/>
      <c r="H121" s="128"/>
      <c r="I121" s="129">
        <f t="shared" si="6"/>
        <v>0</v>
      </c>
      <c r="J121" s="139">
        <f t="shared" si="12"/>
        <v>0</v>
      </c>
      <c r="K121" s="131"/>
      <c r="L121" s="129"/>
      <c r="M121" s="129"/>
      <c r="N121" s="129"/>
      <c r="O121" s="129"/>
      <c r="P121" s="129"/>
      <c r="Q121" s="132"/>
      <c r="R121" s="129"/>
      <c r="S121" s="133" t="e">
        <f t="shared" si="8"/>
        <v>#DIV/0!</v>
      </c>
      <c r="T121" s="134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202" t="str">
        <f t="shared" si="10"/>
        <v/>
      </c>
      <c r="AE121" s="202" t="str">
        <f t="shared" si="11"/>
        <v/>
      </c>
    </row>
    <row r="122" spans="1:31">
      <c r="A122" s="121"/>
      <c r="B122" s="121"/>
      <c r="C122" s="123"/>
      <c r="D122" s="140"/>
      <c r="E122" s="123"/>
      <c r="F122" s="150"/>
      <c r="G122" s="141"/>
      <c r="H122" s="128"/>
      <c r="I122" s="129">
        <f t="shared" si="6"/>
        <v>0</v>
      </c>
      <c r="J122" s="139">
        <f t="shared" si="12"/>
        <v>0</v>
      </c>
      <c r="K122" s="131"/>
      <c r="L122" s="129"/>
      <c r="M122" s="129"/>
      <c r="N122" s="129"/>
      <c r="O122" s="129"/>
      <c r="P122" s="129"/>
      <c r="Q122" s="132"/>
      <c r="R122" s="129"/>
      <c r="S122" s="133" t="e">
        <f t="shared" si="8"/>
        <v>#DIV/0!</v>
      </c>
      <c r="T122" s="134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202" t="str">
        <f t="shared" si="10"/>
        <v/>
      </c>
      <c r="AE122" s="202" t="str">
        <f t="shared" si="11"/>
        <v/>
      </c>
    </row>
    <row r="123" spans="1:31">
      <c r="A123" s="121"/>
      <c r="B123" s="121"/>
      <c r="C123" s="123"/>
      <c r="D123" s="140"/>
      <c r="E123" s="123"/>
      <c r="F123" s="150"/>
      <c r="G123" s="127"/>
      <c r="H123" s="128"/>
      <c r="I123" s="129">
        <f t="shared" si="6"/>
        <v>0</v>
      </c>
      <c r="J123" s="139">
        <f t="shared" si="12"/>
        <v>0</v>
      </c>
      <c r="K123" s="131"/>
      <c r="L123" s="129"/>
      <c r="M123" s="129"/>
      <c r="N123" s="129"/>
      <c r="O123" s="129"/>
      <c r="P123" s="129"/>
      <c r="Q123" s="132"/>
      <c r="R123" s="129"/>
      <c r="S123" s="133" t="e">
        <f t="shared" si="8"/>
        <v>#DIV/0!</v>
      </c>
      <c r="T123" s="134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202" t="str">
        <f t="shared" si="10"/>
        <v/>
      </c>
      <c r="AE123" s="202" t="str">
        <f t="shared" si="11"/>
        <v/>
      </c>
    </row>
    <row r="124" spans="1:31">
      <c r="A124" s="121"/>
      <c r="B124" s="121"/>
      <c r="C124" s="123"/>
      <c r="D124" s="140"/>
      <c r="E124" s="123"/>
      <c r="F124" s="150"/>
      <c r="G124" s="127"/>
      <c r="H124" s="128"/>
      <c r="I124" s="129">
        <f t="shared" si="6"/>
        <v>0</v>
      </c>
      <c r="J124" s="139">
        <f t="shared" si="12"/>
        <v>0</v>
      </c>
      <c r="K124" s="131"/>
      <c r="L124" s="129"/>
      <c r="M124" s="129"/>
      <c r="N124" s="129"/>
      <c r="O124" s="129"/>
      <c r="P124" s="129"/>
      <c r="Q124" s="132"/>
      <c r="R124" s="129"/>
      <c r="S124" s="133" t="e">
        <f t="shared" si="8"/>
        <v>#DIV/0!</v>
      </c>
      <c r="T124" s="134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202" t="str">
        <f t="shared" si="10"/>
        <v/>
      </c>
      <c r="AE124" s="202" t="str">
        <f t="shared" si="11"/>
        <v/>
      </c>
    </row>
    <row r="125" spans="1:31">
      <c r="A125" s="121"/>
      <c r="B125" s="121"/>
      <c r="C125" s="123"/>
      <c r="D125" s="140"/>
      <c r="E125" s="123"/>
      <c r="F125" s="150"/>
      <c r="G125" s="127"/>
      <c r="H125" s="128"/>
      <c r="I125" s="129">
        <f t="shared" si="6"/>
        <v>0</v>
      </c>
      <c r="J125" s="139">
        <f t="shared" si="12"/>
        <v>0</v>
      </c>
      <c r="K125" s="131"/>
      <c r="L125" s="129"/>
      <c r="M125" s="129"/>
      <c r="N125" s="129"/>
      <c r="O125" s="129"/>
      <c r="P125" s="129"/>
      <c r="Q125" s="132"/>
      <c r="R125" s="129"/>
      <c r="S125" s="133" t="e">
        <f t="shared" si="8"/>
        <v>#DIV/0!</v>
      </c>
      <c r="T125" s="134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202" t="str">
        <f t="shared" si="10"/>
        <v/>
      </c>
      <c r="AE125" s="202" t="str">
        <f t="shared" si="11"/>
        <v/>
      </c>
    </row>
    <row r="126" spans="1:31">
      <c r="A126" s="121"/>
      <c r="B126" s="121"/>
      <c r="C126" s="123"/>
      <c r="D126" s="140"/>
      <c r="E126" s="123"/>
      <c r="F126" s="150"/>
      <c r="G126" s="127"/>
      <c r="H126" s="128"/>
      <c r="I126" s="129">
        <f t="shared" si="6"/>
        <v>0</v>
      </c>
      <c r="J126" s="139">
        <f t="shared" si="12"/>
        <v>0</v>
      </c>
      <c r="K126" s="131"/>
      <c r="L126" s="129"/>
      <c r="M126" s="129"/>
      <c r="N126" s="129"/>
      <c r="O126" s="129"/>
      <c r="P126" s="129"/>
      <c r="Q126" s="132"/>
      <c r="R126" s="129"/>
      <c r="S126" s="133" t="e">
        <f t="shared" si="8"/>
        <v>#DIV/0!</v>
      </c>
      <c r="T126" s="134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202" t="str">
        <f t="shared" si="10"/>
        <v/>
      </c>
      <c r="AE126" s="202" t="str">
        <f t="shared" si="11"/>
        <v/>
      </c>
    </row>
    <row r="127" spans="1:31">
      <c r="A127" s="121"/>
      <c r="B127" s="121"/>
      <c r="C127" s="123"/>
      <c r="D127" s="140"/>
      <c r="E127" s="123"/>
      <c r="F127" s="150"/>
      <c r="G127" s="127"/>
      <c r="H127" s="128"/>
      <c r="I127" s="129">
        <f t="shared" si="6"/>
        <v>0</v>
      </c>
      <c r="J127" s="139">
        <f t="shared" si="12"/>
        <v>0</v>
      </c>
      <c r="K127" s="131"/>
      <c r="L127" s="129"/>
      <c r="M127" s="129"/>
      <c r="N127" s="129"/>
      <c r="O127" s="129"/>
      <c r="P127" s="129"/>
      <c r="Q127" s="132"/>
      <c r="R127" s="129"/>
      <c r="S127" s="133" t="e">
        <f t="shared" si="8"/>
        <v>#DIV/0!</v>
      </c>
      <c r="T127" s="134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202" t="str">
        <f t="shared" si="10"/>
        <v/>
      </c>
      <c r="AE127" s="202" t="str">
        <f t="shared" si="11"/>
        <v/>
      </c>
    </row>
    <row r="128" spans="1:31">
      <c r="A128" s="121"/>
      <c r="B128" s="121"/>
      <c r="C128" s="123"/>
      <c r="D128" s="140"/>
      <c r="E128" s="123"/>
      <c r="F128" s="150"/>
      <c r="G128" s="143"/>
      <c r="H128" s="128"/>
      <c r="I128" s="129">
        <f t="shared" si="6"/>
        <v>0</v>
      </c>
      <c r="J128" s="139">
        <f t="shared" si="12"/>
        <v>0</v>
      </c>
      <c r="K128" s="131"/>
      <c r="L128" s="129"/>
      <c r="M128" s="129"/>
      <c r="N128" s="129"/>
      <c r="O128" s="129"/>
      <c r="P128" s="129"/>
      <c r="Q128" s="132"/>
      <c r="R128" s="129"/>
      <c r="S128" s="133" t="e">
        <f t="shared" si="8"/>
        <v>#DIV/0!</v>
      </c>
      <c r="T128" s="134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202" t="str">
        <f t="shared" si="10"/>
        <v/>
      </c>
      <c r="AE128" s="202" t="str">
        <f t="shared" si="11"/>
        <v/>
      </c>
    </row>
    <row r="129" spans="1:31">
      <c r="A129" s="121"/>
      <c r="B129" s="121"/>
      <c r="C129" s="123"/>
      <c r="D129" s="140"/>
      <c r="E129" s="123"/>
      <c r="F129" s="150"/>
      <c r="G129" s="143"/>
      <c r="H129" s="128"/>
      <c r="I129" s="129">
        <f t="shared" ref="I129:I134" si="13">H129-J129</f>
        <v>0</v>
      </c>
      <c r="J129" s="139">
        <f t="shared" si="12"/>
        <v>0</v>
      </c>
      <c r="K129" s="131"/>
      <c r="L129" s="129"/>
      <c r="M129" s="129"/>
      <c r="N129" s="129"/>
      <c r="O129" s="129"/>
      <c r="P129" s="129"/>
      <c r="Q129" s="132"/>
      <c r="R129" s="129"/>
      <c r="S129" s="133" t="e">
        <f t="shared" ref="S129:S134" si="14">J129/H129</f>
        <v>#DIV/0!</v>
      </c>
      <c r="T129" s="134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202" t="str">
        <f t="shared" si="10"/>
        <v/>
      </c>
      <c r="AE129" s="202" t="str">
        <f t="shared" si="11"/>
        <v/>
      </c>
    </row>
    <row r="130" spans="1:31">
      <c r="A130" s="121"/>
      <c r="B130" s="121"/>
      <c r="C130" s="123"/>
      <c r="D130" s="140"/>
      <c r="E130" s="123"/>
      <c r="F130" s="150"/>
      <c r="G130" s="127"/>
      <c r="H130" s="128"/>
      <c r="I130" s="129">
        <f t="shared" si="13"/>
        <v>0</v>
      </c>
      <c r="J130" s="139">
        <f t="shared" si="12"/>
        <v>0</v>
      </c>
      <c r="K130" s="131"/>
      <c r="L130" s="129"/>
      <c r="M130" s="129"/>
      <c r="N130" s="129"/>
      <c r="O130" s="129"/>
      <c r="P130" s="129"/>
      <c r="Q130" s="132"/>
      <c r="R130" s="129"/>
      <c r="S130" s="133" t="e">
        <f t="shared" si="14"/>
        <v>#DIV/0!</v>
      </c>
      <c r="T130" s="134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202" t="str">
        <f t="shared" si="10"/>
        <v/>
      </c>
      <c r="AE130" s="202" t="str">
        <f t="shared" si="11"/>
        <v/>
      </c>
    </row>
    <row r="131" spans="1:31">
      <c r="A131" s="121"/>
      <c r="B131" s="121"/>
      <c r="C131" s="123"/>
      <c r="D131" s="140"/>
      <c r="E131" s="123"/>
      <c r="F131" s="150"/>
      <c r="G131" s="127"/>
      <c r="H131" s="128"/>
      <c r="I131" s="129">
        <f t="shared" si="13"/>
        <v>0</v>
      </c>
      <c r="J131" s="139">
        <f t="shared" si="12"/>
        <v>0</v>
      </c>
      <c r="K131" s="131"/>
      <c r="L131" s="129"/>
      <c r="M131" s="129"/>
      <c r="N131" s="129"/>
      <c r="O131" s="129"/>
      <c r="P131" s="129"/>
      <c r="Q131" s="132"/>
      <c r="R131" s="129"/>
      <c r="S131" s="133" t="e">
        <f t="shared" si="14"/>
        <v>#DIV/0!</v>
      </c>
      <c r="T131" s="134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202" t="str">
        <f t="shared" si="10"/>
        <v/>
      </c>
      <c r="AE131" s="202" t="str">
        <f t="shared" si="11"/>
        <v/>
      </c>
    </row>
    <row r="132" spans="1:31">
      <c r="A132" s="121"/>
      <c r="B132" s="121"/>
      <c r="C132" s="123"/>
      <c r="D132" s="140"/>
      <c r="E132" s="123"/>
      <c r="F132" s="150"/>
      <c r="G132" s="127"/>
      <c r="H132" s="128"/>
      <c r="I132" s="129">
        <f t="shared" si="13"/>
        <v>0</v>
      </c>
      <c r="J132" s="139">
        <f t="shared" si="12"/>
        <v>0</v>
      </c>
      <c r="K132" s="131"/>
      <c r="L132" s="129"/>
      <c r="M132" s="129"/>
      <c r="N132" s="129"/>
      <c r="O132" s="129"/>
      <c r="P132" s="129"/>
      <c r="Q132" s="132"/>
      <c r="R132" s="129"/>
      <c r="S132" s="133" t="e">
        <f t="shared" si="14"/>
        <v>#DIV/0!</v>
      </c>
      <c r="T132" s="134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202" t="str">
        <f t="shared" si="10"/>
        <v/>
      </c>
      <c r="AE132" s="202" t="str">
        <f t="shared" si="11"/>
        <v/>
      </c>
    </row>
    <row r="133" spans="1:31">
      <c r="A133" s="121"/>
      <c r="B133" s="121"/>
      <c r="C133" s="123"/>
      <c r="D133" s="140"/>
      <c r="E133" s="123"/>
      <c r="F133" s="150"/>
      <c r="G133" s="127"/>
      <c r="H133" s="128"/>
      <c r="I133" s="129">
        <f t="shared" si="13"/>
        <v>0</v>
      </c>
      <c r="J133" s="139">
        <f t="shared" si="12"/>
        <v>0</v>
      </c>
      <c r="K133" s="131"/>
      <c r="L133" s="129"/>
      <c r="M133" s="129"/>
      <c r="N133" s="129"/>
      <c r="O133" s="129"/>
      <c r="P133" s="129"/>
      <c r="Q133" s="132"/>
      <c r="R133" s="129"/>
      <c r="S133" s="133" t="e">
        <f t="shared" si="14"/>
        <v>#DIV/0!</v>
      </c>
      <c r="T133" s="134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202" t="str">
        <f t="shared" si="10"/>
        <v/>
      </c>
      <c r="AE133" s="202" t="str">
        <f t="shared" si="11"/>
        <v/>
      </c>
    </row>
    <row r="134" spans="1:31">
      <c r="A134" s="121"/>
      <c r="B134" s="121"/>
      <c r="C134" s="123"/>
      <c r="D134" s="140"/>
      <c r="E134" s="123"/>
      <c r="F134" s="150"/>
      <c r="G134" s="127"/>
      <c r="H134" s="128"/>
      <c r="I134" s="129">
        <f t="shared" si="13"/>
        <v>0</v>
      </c>
      <c r="J134" s="139">
        <f t="shared" si="12"/>
        <v>0</v>
      </c>
      <c r="K134" s="131"/>
      <c r="L134" s="129"/>
      <c r="M134" s="129"/>
      <c r="N134" s="129"/>
      <c r="O134" s="129"/>
      <c r="P134" s="129"/>
      <c r="Q134" s="132"/>
      <c r="R134" s="129"/>
      <c r="S134" s="133" t="e">
        <f t="shared" si="14"/>
        <v>#DIV/0!</v>
      </c>
      <c r="T134" s="134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202" t="str">
        <f t="shared" si="10"/>
        <v/>
      </c>
      <c r="AE134" s="202" t="str">
        <f t="shared" si="11"/>
        <v/>
      </c>
    </row>
    <row r="135" spans="1:31">
      <c r="A135" s="121"/>
      <c r="B135" s="121"/>
      <c r="C135" s="123"/>
      <c r="D135" s="140"/>
      <c r="E135" s="123"/>
      <c r="F135" s="150"/>
      <c r="G135" s="127"/>
      <c r="H135" s="128"/>
      <c r="I135" s="129">
        <f t="shared" si="6"/>
        <v>0</v>
      </c>
      <c r="J135" s="139">
        <f t="shared" si="7"/>
        <v>0</v>
      </c>
      <c r="K135" s="131"/>
      <c r="L135" s="129"/>
      <c r="M135" s="129"/>
      <c r="N135" s="129"/>
      <c r="O135" s="129"/>
      <c r="P135" s="129"/>
      <c r="Q135" s="132"/>
      <c r="R135" s="129"/>
      <c r="S135" s="133" t="e">
        <f t="shared" si="8"/>
        <v>#DIV/0!</v>
      </c>
      <c r="T135" s="134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202" t="str">
        <f t="shared" si="10"/>
        <v/>
      </c>
      <c r="AE135" s="202" t="str">
        <f t="shared" si="11"/>
        <v/>
      </c>
    </row>
    <row r="136" spans="1:31">
      <c r="A136" s="121"/>
      <c r="B136" s="121"/>
      <c r="C136" s="123"/>
      <c r="D136" s="140"/>
      <c r="E136" s="123"/>
      <c r="F136" s="150"/>
      <c r="G136" s="127"/>
      <c r="H136" s="128"/>
      <c r="I136" s="129">
        <f t="shared" si="6"/>
        <v>0</v>
      </c>
      <c r="J136" s="139">
        <f t="shared" si="7"/>
        <v>0</v>
      </c>
      <c r="K136" s="131"/>
      <c r="L136" s="129"/>
      <c r="M136" s="129"/>
      <c r="N136" s="129"/>
      <c r="O136" s="129"/>
      <c r="P136" s="129"/>
      <c r="Q136" s="132"/>
      <c r="R136" s="129"/>
      <c r="S136" s="133" t="e">
        <f t="shared" si="8"/>
        <v>#DIV/0!</v>
      </c>
      <c r="T136" s="134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202" t="str">
        <f t="shared" ref="AD136:AD149" si="15">C136&amp;F136&amp;G136&amp;B136</f>
        <v/>
      </c>
      <c r="AE136" s="202" t="str">
        <f t="shared" ref="AE136:AE149" si="16">C136&amp;F136&amp;G136</f>
        <v/>
      </c>
    </row>
    <row r="137" spans="1:31">
      <c r="A137" s="121"/>
      <c r="B137" s="121"/>
      <c r="C137" s="123"/>
      <c r="D137" s="140"/>
      <c r="E137" s="123"/>
      <c r="F137" s="150"/>
      <c r="G137" s="127"/>
      <c r="H137" s="128"/>
      <c r="I137" s="129">
        <f t="shared" si="6"/>
        <v>0</v>
      </c>
      <c r="J137" s="139">
        <f t="shared" si="7"/>
        <v>0</v>
      </c>
      <c r="K137" s="131"/>
      <c r="L137" s="129"/>
      <c r="M137" s="129"/>
      <c r="N137" s="129"/>
      <c r="O137" s="129"/>
      <c r="P137" s="129"/>
      <c r="Q137" s="132"/>
      <c r="R137" s="129"/>
      <c r="S137" s="133" t="e">
        <f t="shared" si="8"/>
        <v>#DIV/0!</v>
      </c>
      <c r="T137" s="134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202" t="str">
        <f t="shared" si="15"/>
        <v/>
      </c>
      <c r="AE137" s="202" t="str">
        <f t="shared" si="16"/>
        <v/>
      </c>
    </row>
    <row r="138" spans="1:31">
      <c r="A138" s="121"/>
      <c r="B138" s="121"/>
      <c r="C138" s="123"/>
      <c r="D138" s="140"/>
      <c r="E138" s="123"/>
      <c r="F138" s="150"/>
      <c r="G138" s="127"/>
      <c r="H138" s="128"/>
      <c r="I138" s="129">
        <f t="shared" si="6"/>
        <v>0</v>
      </c>
      <c r="J138" s="139">
        <f t="shared" si="7"/>
        <v>0</v>
      </c>
      <c r="K138" s="131"/>
      <c r="L138" s="129"/>
      <c r="M138" s="129"/>
      <c r="N138" s="129"/>
      <c r="O138" s="129"/>
      <c r="P138" s="129"/>
      <c r="Q138" s="132"/>
      <c r="R138" s="129"/>
      <c r="S138" s="133" t="e">
        <f t="shared" si="8"/>
        <v>#DIV/0!</v>
      </c>
      <c r="T138" s="134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202" t="str">
        <f t="shared" si="15"/>
        <v/>
      </c>
      <c r="AE138" s="202" t="str">
        <f t="shared" si="16"/>
        <v/>
      </c>
    </row>
    <row r="139" spans="1:31">
      <c r="A139" s="121"/>
      <c r="B139" s="121"/>
      <c r="C139" s="123"/>
      <c r="D139" s="140"/>
      <c r="E139" s="123"/>
      <c r="F139" s="150"/>
      <c r="G139" s="127"/>
      <c r="H139" s="128"/>
      <c r="I139" s="129">
        <f t="shared" si="6"/>
        <v>0</v>
      </c>
      <c r="J139" s="139">
        <f t="shared" si="7"/>
        <v>0</v>
      </c>
      <c r="K139" s="131"/>
      <c r="L139" s="129"/>
      <c r="M139" s="129"/>
      <c r="N139" s="129"/>
      <c r="O139" s="129"/>
      <c r="P139" s="129"/>
      <c r="Q139" s="132"/>
      <c r="R139" s="129"/>
      <c r="S139" s="133" t="e">
        <f t="shared" si="8"/>
        <v>#DIV/0!</v>
      </c>
      <c r="T139" s="134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202" t="str">
        <f t="shared" si="15"/>
        <v/>
      </c>
      <c r="AE139" s="202" t="str">
        <f t="shared" si="16"/>
        <v/>
      </c>
    </row>
    <row r="140" spans="1:31">
      <c r="A140" s="121"/>
      <c r="B140" s="121"/>
      <c r="C140" s="123"/>
      <c r="D140" s="140"/>
      <c r="E140" s="123"/>
      <c r="F140" s="150"/>
      <c r="G140" s="127"/>
      <c r="H140" s="128"/>
      <c r="I140" s="129">
        <f t="shared" si="6"/>
        <v>0</v>
      </c>
      <c r="J140" s="139">
        <f t="shared" si="7"/>
        <v>0</v>
      </c>
      <c r="K140" s="131"/>
      <c r="L140" s="129"/>
      <c r="M140" s="129"/>
      <c r="N140" s="129"/>
      <c r="O140" s="129"/>
      <c r="P140" s="129"/>
      <c r="Q140" s="132"/>
      <c r="R140" s="129"/>
      <c r="S140" s="133" t="e">
        <f t="shared" si="8"/>
        <v>#DIV/0!</v>
      </c>
      <c r="T140" s="134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202" t="str">
        <f t="shared" si="15"/>
        <v/>
      </c>
      <c r="AE140" s="202" t="str">
        <f t="shared" si="16"/>
        <v/>
      </c>
    </row>
    <row r="141" spans="1:31">
      <c r="A141" s="121"/>
      <c r="B141" s="121"/>
      <c r="C141" s="123"/>
      <c r="D141" s="140"/>
      <c r="E141" s="123"/>
      <c r="F141" s="150"/>
      <c r="G141" s="127"/>
      <c r="H141" s="128"/>
      <c r="I141" s="129">
        <f t="shared" si="6"/>
        <v>0</v>
      </c>
      <c r="J141" s="139">
        <f t="shared" si="7"/>
        <v>0</v>
      </c>
      <c r="K141" s="131"/>
      <c r="L141" s="129"/>
      <c r="M141" s="129"/>
      <c r="N141" s="129"/>
      <c r="O141" s="129"/>
      <c r="P141" s="129"/>
      <c r="Q141" s="132"/>
      <c r="R141" s="129"/>
      <c r="S141" s="133" t="e">
        <f t="shared" si="8"/>
        <v>#DIV/0!</v>
      </c>
      <c r="T141" s="134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202" t="str">
        <f t="shared" si="15"/>
        <v/>
      </c>
      <c r="AE141" s="202" t="str">
        <f t="shared" si="16"/>
        <v/>
      </c>
    </row>
    <row r="142" spans="1:31">
      <c r="A142" s="121"/>
      <c r="B142" s="121"/>
      <c r="C142" s="123"/>
      <c r="D142" s="140"/>
      <c r="E142" s="123"/>
      <c r="F142" s="150"/>
      <c r="G142" s="127"/>
      <c r="H142" s="128"/>
      <c r="I142" s="129">
        <f t="shared" si="6"/>
        <v>0</v>
      </c>
      <c r="J142" s="139">
        <f t="shared" si="7"/>
        <v>0</v>
      </c>
      <c r="K142" s="131"/>
      <c r="L142" s="129"/>
      <c r="M142" s="129"/>
      <c r="N142" s="129"/>
      <c r="O142" s="129"/>
      <c r="P142" s="129"/>
      <c r="Q142" s="132"/>
      <c r="R142" s="129"/>
      <c r="S142" s="133" t="e">
        <f t="shared" si="8"/>
        <v>#DIV/0!</v>
      </c>
      <c r="T142" s="134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202" t="str">
        <f t="shared" si="15"/>
        <v/>
      </c>
      <c r="AE142" s="202" t="str">
        <f t="shared" si="16"/>
        <v/>
      </c>
    </row>
    <row r="143" spans="1:31">
      <c r="A143" s="121"/>
      <c r="B143" s="121"/>
      <c r="C143" s="123"/>
      <c r="D143" s="140"/>
      <c r="E143" s="123"/>
      <c r="F143" s="150"/>
      <c r="G143" s="127"/>
      <c r="H143" s="128"/>
      <c r="I143" s="129">
        <f t="shared" si="6"/>
        <v>0</v>
      </c>
      <c r="J143" s="139">
        <f t="shared" si="7"/>
        <v>0</v>
      </c>
      <c r="K143" s="131"/>
      <c r="L143" s="129"/>
      <c r="M143" s="129"/>
      <c r="N143" s="129"/>
      <c r="O143" s="129"/>
      <c r="P143" s="129"/>
      <c r="Q143" s="132"/>
      <c r="R143" s="129"/>
      <c r="S143" s="133" t="e">
        <f t="shared" si="8"/>
        <v>#DIV/0!</v>
      </c>
      <c r="T143" s="134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202" t="str">
        <f t="shared" si="15"/>
        <v/>
      </c>
      <c r="AE143" s="202" t="str">
        <f t="shared" si="16"/>
        <v/>
      </c>
    </row>
    <row r="144" spans="1:31">
      <c r="A144" s="121"/>
      <c r="B144" s="121"/>
      <c r="C144" s="123"/>
      <c r="D144" s="140"/>
      <c r="E144" s="123"/>
      <c r="F144" s="150"/>
      <c r="G144" s="127"/>
      <c r="H144" s="128"/>
      <c r="I144" s="129">
        <f t="shared" si="6"/>
        <v>0</v>
      </c>
      <c r="J144" s="139">
        <f t="shared" si="7"/>
        <v>0</v>
      </c>
      <c r="K144" s="131"/>
      <c r="L144" s="129"/>
      <c r="M144" s="129"/>
      <c r="N144" s="129"/>
      <c r="O144" s="129"/>
      <c r="P144" s="129"/>
      <c r="Q144" s="132"/>
      <c r="R144" s="129"/>
      <c r="S144" s="133" t="e">
        <f t="shared" si="8"/>
        <v>#DIV/0!</v>
      </c>
      <c r="T144" s="134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202" t="str">
        <f t="shared" si="15"/>
        <v/>
      </c>
      <c r="AE144" s="202" t="str">
        <f t="shared" si="16"/>
        <v/>
      </c>
    </row>
    <row r="145" spans="1:31">
      <c r="A145" s="121"/>
      <c r="B145" s="121"/>
      <c r="C145" s="123"/>
      <c r="D145" s="140"/>
      <c r="E145" s="123"/>
      <c r="F145" s="150"/>
      <c r="G145" s="127"/>
      <c r="H145" s="128"/>
      <c r="I145" s="129">
        <f t="shared" si="6"/>
        <v>0</v>
      </c>
      <c r="J145" s="139">
        <f t="shared" si="7"/>
        <v>0</v>
      </c>
      <c r="K145" s="131"/>
      <c r="L145" s="129"/>
      <c r="M145" s="129"/>
      <c r="N145" s="129"/>
      <c r="O145" s="129"/>
      <c r="P145" s="129"/>
      <c r="Q145" s="132"/>
      <c r="R145" s="129"/>
      <c r="S145" s="133" t="e">
        <f t="shared" si="8"/>
        <v>#DIV/0!</v>
      </c>
      <c r="T145" s="134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202" t="str">
        <f t="shared" si="15"/>
        <v/>
      </c>
      <c r="AE145" s="202" t="str">
        <f t="shared" si="16"/>
        <v/>
      </c>
    </row>
    <row r="146" spans="1:31">
      <c r="A146" s="121"/>
      <c r="B146" s="121"/>
      <c r="C146" s="123"/>
      <c r="D146" s="140"/>
      <c r="E146" s="123"/>
      <c r="F146" s="150"/>
      <c r="G146" s="127"/>
      <c r="H146" s="128"/>
      <c r="I146" s="129">
        <f t="shared" si="6"/>
        <v>0</v>
      </c>
      <c r="J146" s="139">
        <f t="shared" si="7"/>
        <v>0</v>
      </c>
      <c r="K146" s="131"/>
      <c r="L146" s="129"/>
      <c r="M146" s="129"/>
      <c r="N146" s="129"/>
      <c r="O146" s="129"/>
      <c r="P146" s="129"/>
      <c r="Q146" s="132"/>
      <c r="R146" s="129"/>
      <c r="S146" s="133" t="e">
        <f t="shared" si="8"/>
        <v>#DIV/0!</v>
      </c>
      <c r="T146" s="134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202" t="str">
        <f t="shared" si="15"/>
        <v/>
      </c>
      <c r="AE146" s="202" t="str">
        <f t="shared" si="16"/>
        <v/>
      </c>
    </row>
    <row r="147" spans="1:31">
      <c r="A147" s="121"/>
      <c r="B147" s="121"/>
      <c r="C147" s="123"/>
      <c r="D147" s="140"/>
      <c r="E147" s="123"/>
      <c r="F147" s="150"/>
      <c r="G147" s="127"/>
      <c r="H147" s="128"/>
      <c r="I147" s="129">
        <f t="shared" si="6"/>
        <v>0</v>
      </c>
      <c r="J147" s="139">
        <f t="shared" si="7"/>
        <v>0</v>
      </c>
      <c r="K147" s="131"/>
      <c r="L147" s="129"/>
      <c r="M147" s="129"/>
      <c r="N147" s="129"/>
      <c r="O147" s="129"/>
      <c r="P147" s="129"/>
      <c r="Q147" s="132"/>
      <c r="R147" s="129"/>
      <c r="S147" s="133" t="e">
        <f t="shared" si="8"/>
        <v>#DIV/0!</v>
      </c>
      <c r="T147" s="134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202" t="str">
        <f t="shared" si="15"/>
        <v/>
      </c>
      <c r="AE147" s="202" t="str">
        <f t="shared" si="16"/>
        <v/>
      </c>
    </row>
    <row r="148" spans="1:31">
      <c r="A148" s="121"/>
      <c r="B148" s="121"/>
      <c r="C148" s="123"/>
      <c r="D148" s="140"/>
      <c r="E148" s="123"/>
      <c r="F148" s="150"/>
      <c r="G148" s="127"/>
      <c r="H148" s="128"/>
      <c r="I148" s="129">
        <f t="shared" si="6"/>
        <v>0</v>
      </c>
      <c r="J148" s="139">
        <f t="shared" si="7"/>
        <v>0</v>
      </c>
      <c r="K148" s="131"/>
      <c r="L148" s="129"/>
      <c r="M148" s="129"/>
      <c r="N148" s="129"/>
      <c r="O148" s="129"/>
      <c r="P148" s="129"/>
      <c r="Q148" s="132"/>
      <c r="R148" s="129"/>
      <c r="S148" s="133" t="e">
        <f t="shared" si="8"/>
        <v>#DIV/0!</v>
      </c>
      <c r="T148" s="134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202" t="str">
        <f t="shared" si="15"/>
        <v/>
      </c>
      <c r="AE148" s="202" t="str">
        <f t="shared" si="16"/>
        <v/>
      </c>
    </row>
    <row r="149" spans="1:31" ht="19.5" thickBot="1">
      <c r="A149" s="151"/>
      <c r="B149" s="151"/>
      <c r="C149" s="152"/>
      <c r="D149" s="153"/>
      <c r="E149" s="135"/>
      <c r="F149" s="154"/>
      <c r="G149" s="155"/>
      <c r="H149" s="156"/>
      <c r="I149" s="157"/>
      <c r="J149" s="158"/>
      <c r="K149" s="159"/>
      <c r="L149" s="157"/>
      <c r="M149" s="157"/>
      <c r="N149" s="157"/>
      <c r="O149" s="157"/>
      <c r="P149" s="157"/>
      <c r="Q149" s="160"/>
      <c r="R149" s="157"/>
      <c r="S149" s="161"/>
      <c r="T149" s="16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202" t="str">
        <f t="shared" si="15"/>
        <v/>
      </c>
      <c r="AE149" s="202" t="str">
        <f t="shared" si="16"/>
        <v/>
      </c>
    </row>
    <row r="150" spans="1:31" ht="19.5" thickBot="1">
      <c r="A150" s="163"/>
      <c r="B150" s="163"/>
      <c r="C150" s="164"/>
      <c r="D150" s="164"/>
      <c r="E150" s="164"/>
      <c r="F150" s="165"/>
      <c r="G150" s="165"/>
      <c r="H150" s="166">
        <f>SUBTOTAL(9,H7:H149)</f>
        <v>3398</v>
      </c>
      <c r="I150" s="166">
        <f>SUBTOTAL(9,I7:I149)</f>
        <v>3081</v>
      </c>
      <c r="J150" s="166">
        <f t="shared" ref="J150:R150" si="17">SUBTOTAL(9,J7:J149)</f>
        <v>317</v>
      </c>
      <c r="K150" s="166">
        <f t="shared" si="17"/>
        <v>3</v>
      </c>
      <c r="L150" s="166">
        <f t="shared" si="17"/>
        <v>0</v>
      </c>
      <c r="M150" s="166">
        <f t="shared" si="17"/>
        <v>31</v>
      </c>
      <c r="N150" s="166">
        <f t="shared" si="17"/>
        <v>5</v>
      </c>
      <c r="O150" s="166">
        <f t="shared" si="17"/>
        <v>176</v>
      </c>
      <c r="P150" s="166">
        <f t="shared" si="17"/>
        <v>102</v>
      </c>
      <c r="Q150" s="167">
        <f t="shared" si="17"/>
        <v>0</v>
      </c>
      <c r="R150" s="167">
        <f t="shared" si="17"/>
        <v>0</v>
      </c>
      <c r="S150" s="168">
        <f>J150/H150</f>
        <v>9.3290170688640373E-2</v>
      </c>
      <c r="T150" s="169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201"/>
      <c r="AE150" s="201"/>
    </row>
  </sheetData>
  <autoFilter ref="A7:A162"/>
  <dataConsolidate/>
  <mergeCells count="4">
    <mergeCell ref="A2:AC2"/>
    <mergeCell ref="A3:G3"/>
    <mergeCell ref="T3:AC3"/>
    <mergeCell ref="H3:S3"/>
  </mergeCells>
  <phoneticPr fontId="41" type="noConversion"/>
  <dataValidations count="3">
    <dataValidation type="list" allowBlank="1" showInputMessage="1" showErrorMessage="1" sqref="B1 B6:B1048576">
      <formula1>"KIEM,TAIKIEM"</formula1>
    </dataValidation>
    <dataValidation type="list" allowBlank="1" showInputMessage="1" showErrorMessage="1" sqref="AH73">
      <formula1>$A$7:$A$76</formula1>
    </dataValidation>
    <dataValidation type="list" allowBlank="1" showInputMessage="1" showErrorMessage="1" sqref="C1:C1048576">
      <formula1>"BR1144,BR9071,HS8078,BR9070,HS8073,BR1109,BR1108,BR9125"</formula1>
    </dataValidation>
  </dataValidations>
  <printOptions horizontalCentered="1" verticalCentered="1"/>
  <pageMargins left="0" right="0" top="0" bottom="0" header="0" footer="0"/>
  <pageSetup scale="43" orientation="landscape" r:id="rId1"/>
  <headerFooter differentOddEven="1"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5"/>
  <sheetViews>
    <sheetView showGridLines="0" topLeftCell="G88" zoomScale="98" zoomScaleNormal="98" workbookViewId="0">
      <selection activeCell="I13" sqref="I13"/>
    </sheetView>
  </sheetViews>
  <sheetFormatPr defaultColWidth="10.85546875" defaultRowHeight="15"/>
  <cols>
    <col min="1" max="1" width="17" style="6" customWidth="1"/>
    <col min="2" max="2" width="18.28515625" style="6" customWidth="1"/>
    <col min="3" max="3" width="16.42578125" style="6" customWidth="1"/>
    <col min="4" max="5" width="10.85546875" style="6"/>
    <col min="6" max="10" width="22.85546875" style="6" customWidth="1"/>
    <col min="11" max="13" width="9.42578125" style="6" customWidth="1"/>
    <col min="14" max="14" width="12.28515625" style="6" customWidth="1"/>
    <col min="15" max="16" width="10.85546875" style="6"/>
    <col min="17" max="17" width="17.42578125" style="6" customWidth="1"/>
    <col min="18" max="21" width="10.85546875" style="6"/>
    <col min="22" max="22" width="18.7109375" style="6" customWidth="1"/>
    <col min="23" max="23" width="10.85546875" style="6"/>
    <col min="24" max="24" width="18.28515625" style="6" customWidth="1"/>
    <col min="25" max="26" width="10.85546875" style="6"/>
    <col min="27" max="27" width="13.42578125" style="6" customWidth="1"/>
    <col min="28" max="28" width="10.140625" style="6" customWidth="1"/>
    <col min="29" max="30" width="10.85546875" style="6"/>
    <col min="31" max="31" width="20.28515625" style="6" customWidth="1"/>
    <col min="32" max="32" width="21.140625" style="6" customWidth="1"/>
    <col min="33" max="33" width="19.85546875" style="6" customWidth="1"/>
    <col min="34" max="34" width="24.7109375" style="6" customWidth="1"/>
    <col min="35" max="35" width="20.42578125" style="6" customWidth="1"/>
    <col min="36" max="16384" width="10.85546875" style="6"/>
  </cols>
  <sheetData>
    <row r="1" spans="1:35" s="1" customFormat="1" ht="66.2" customHeight="1">
      <c r="A1" s="290" t="s">
        <v>0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39"/>
      <c r="Y1" s="39"/>
      <c r="Z1" s="39"/>
      <c r="AA1" s="39"/>
      <c r="AB1" s="39"/>
      <c r="AC1" s="39"/>
      <c r="AD1" s="39"/>
      <c r="AE1" s="39"/>
      <c r="AF1" s="39"/>
      <c r="AG1" s="40"/>
      <c r="AH1" s="40"/>
    </row>
    <row r="2" spans="1:35" s="2" customFormat="1" ht="66.2" customHeight="1">
      <c r="A2" s="289" t="s">
        <v>1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3" spans="1:35" ht="36.75" thickBot="1">
      <c r="A3" s="291" t="s">
        <v>188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</row>
    <row r="4" spans="1:35" ht="18" customHeight="1" thickBot="1">
      <c r="A4" s="7" t="s">
        <v>189</v>
      </c>
      <c r="B4" s="8" t="s">
        <v>95</v>
      </c>
      <c r="C4" s="9" t="s">
        <v>190</v>
      </c>
      <c r="D4" s="10" t="s">
        <v>191</v>
      </c>
      <c r="E4" s="10" t="s">
        <v>192</v>
      </c>
      <c r="F4" s="10" t="s">
        <v>193</v>
      </c>
      <c r="G4" s="10" t="s">
        <v>194</v>
      </c>
      <c r="H4" s="10" t="s">
        <v>195</v>
      </c>
      <c r="I4" s="10" t="s">
        <v>196</v>
      </c>
      <c r="J4" s="10" t="s">
        <v>197</v>
      </c>
      <c r="K4" s="264" t="s">
        <v>198</v>
      </c>
      <c r="L4" s="265"/>
      <c r="M4" s="265"/>
      <c r="N4" s="266"/>
      <c r="O4" s="30" t="s">
        <v>140</v>
      </c>
      <c r="P4" s="30" t="s">
        <v>141</v>
      </c>
      <c r="Q4" s="31" t="s">
        <v>16</v>
      </c>
      <c r="R4" s="30" t="s">
        <v>142</v>
      </c>
      <c r="S4" s="30" t="s">
        <v>90</v>
      </c>
      <c r="T4" s="30" t="s">
        <v>18</v>
      </c>
      <c r="U4" s="30" t="s">
        <v>19</v>
      </c>
      <c r="V4" s="32" t="s">
        <v>20</v>
      </c>
      <c r="W4" s="33" t="s">
        <v>21</v>
      </c>
    </row>
    <row r="5" spans="1:35" ht="18" customHeight="1" thickBot="1">
      <c r="A5" s="7" t="s">
        <v>96</v>
      </c>
      <c r="B5" s="8" t="s">
        <v>97</v>
      </c>
      <c r="C5" s="9" t="s">
        <v>98</v>
      </c>
      <c r="D5" s="10" t="s">
        <v>99</v>
      </c>
      <c r="E5" s="10" t="s">
        <v>100</v>
      </c>
      <c r="F5" s="10" t="s">
        <v>101</v>
      </c>
      <c r="G5" s="10" t="s">
        <v>102</v>
      </c>
      <c r="H5" s="10" t="s">
        <v>103</v>
      </c>
      <c r="I5" s="10" t="s">
        <v>104</v>
      </c>
      <c r="J5" s="10" t="s">
        <v>104</v>
      </c>
      <c r="K5" s="264" t="s">
        <v>105</v>
      </c>
      <c r="L5" s="265"/>
      <c r="M5" s="265"/>
      <c r="N5" s="266"/>
      <c r="O5" s="30" t="s">
        <v>143</v>
      </c>
      <c r="P5" s="30" t="s">
        <v>144</v>
      </c>
      <c r="Q5" s="31" t="s">
        <v>145</v>
      </c>
      <c r="R5" s="30" t="s">
        <v>146</v>
      </c>
      <c r="S5" s="30" t="s">
        <v>147</v>
      </c>
      <c r="T5" s="30" t="s">
        <v>148</v>
      </c>
      <c r="U5" s="30" t="s">
        <v>149</v>
      </c>
      <c r="V5" s="32" t="s">
        <v>49</v>
      </c>
      <c r="W5" s="33" t="s">
        <v>150</v>
      </c>
      <c r="Y5" s="293" t="s">
        <v>183</v>
      </c>
      <c r="Z5" s="293"/>
      <c r="AA5" s="293"/>
      <c r="AB5" s="293"/>
      <c r="AC5" s="293"/>
      <c r="AD5" s="293"/>
      <c r="AE5" s="293"/>
      <c r="AF5" s="293" t="s">
        <v>205</v>
      </c>
      <c r="AG5" s="293"/>
      <c r="AH5" s="293"/>
      <c r="AI5" s="293"/>
    </row>
    <row r="6" spans="1:35" ht="18" customHeight="1" thickBot="1">
      <c r="A6" s="7" t="s">
        <v>106</v>
      </c>
      <c r="B6" s="8" t="s">
        <v>9</v>
      </c>
      <c r="C6" s="9" t="s">
        <v>107</v>
      </c>
      <c r="D6" s="10" t="s">
        <v>108</v>
      </c>
      <c r="E6" s="10" t="s">
        <v>100</v>
      </c>
      <c r="F6" s="10" t="s">
        <v>109</v>
      </c>
      <c r="G6" s="10" t="s">
        <v>199</v>
      </c>
      <c r="H6" s="10" t="s">
        <v>200</v>
      </c>
      <c r="I6" s="11" t="s">
        <v>201</v>
      </c>
      <c r="J6" s="11" t="s">
        <v>202</v>
      </c>
      <c r="K6" s="12" t="s">
        <v>110</v>
      </c>
      <c r="L6" s="10" t="s">
        <v>111</v>
      </c>
      <c r="M6" s="10" t="s">
        <v>112</v>
      </c>
      <c r="N6" s="13" t="s">
        <v>113</v>
      </c>
      <c r="O6" s="43" t="s">
        <v>151</v>
      </c>
      <c r="P6" s="43" t="s">
        <v>152</v>
      </c>
      <c r="Q6" s="43" t="s">
        <v>153</v>
      </c>
      <c r="R6" s="43" t="s">
        <v>154</v>
      </c>
      <c r="S6" s="43" t="s">
        <v>155</v>
      </c>
      <c r="T6" s="43" t="s">
        <v>156</v>
      </c>
      <c r="U6" s="43" t="s">
        <v>157</v>
      </c>
      <c r="V6" s="44" t="s">
        <v>78</v>
      </c>
      <c r="W6" s="43" t="s">
        <v>158</v>
      </c>
      <c r="Y6" s="293" t="s">
        <v>184</v>
      </c>
      <c r="Z6" s="293"/>
      <c r="AA6" s="293" t="s">
        <v>185</v>
      </c>
      <c r="AB6" s="293"/>
      <c r="AC6" s="293" t="s">
        <v>186</v>
      </c>
      <c r="AD6" s="293"/>
      <c r="AE6" s="216" t="s">
        <v>187</v>
      </c>
      <c r="AF6" s="215" t="s">
        <v>206</v>
      </c>
      <c r="AG6" s="215" t="s">
        <v>207</v>
      </c>
      <c r="AH6" s="216" t="s">
        <v>214</v>
      </c>
      <c r="AI6" s="216" t="s">
        <v>213</v>
      </c>
    </row>
    <row r="7" spans="1:35" ht="15.75" thickBot="1">
      <c r="A7" s="267" t="s">
        <v>216</v>
      </c>
      <c r="B7" s="269" t="str">
        <f>VLOOKUP($A7,'Daily Report'!$C$7:$E$263,2,FALSE)</f>
        <v>GUA</v>
      </c>
      <c r="C7" s="269" t="str">
        <f>VLOOKUP($A7,'Daily Report'!$C$7:$E$263,3,FALSE)</f>
        <v>SHIRT</v>
      </c>
      <c r="D7" s="45" t="s">
        <v>161</v>
      </c>
      <c r="E7" s="14" t="s">
        <v>174</v>
      </c>
      <c r="F7" s="15" t="e">
        <f>SUMIF('Dữ Liệu'!#REF!,'Cumulative Table'!$X7,'Dữ Liệu'!$H$7:$H$134)</f>
        <v>#REF!</v>
      </c>
      <c r="G7" s="14">
        <f>SUMIF('Daily Report'!$AD$7:$AD$263,'Cumulative Table'!$X7&amp;"KIEM",'Daily Report'!$H$7:$H$263)</f>
        <v>0</v>
      </c>
      <c r="H7" s="14">
        <f>SUMIF('Daily Report'!$AD$7:$AD$263,'Cumulative Table'!$X7&amp;"TAIKIEM",'Daily Report'!$H$7:$H$263)</f>
        <v>0</v>
      </c>
      <c r="I7" s="14">
        <f>SUMIF('Daily Report'!$AE$7:$AE$263,'Cumulative Table'!$X7,'Daily Report'!$I$7:$I$263)</f>
        <v>0</v>
      </c>
      <c r="J7" s="14">
        <f>SUMIF('Daily Report'!AE7:AE263,'Cumulative Table'!X7:X201,'Daily Report'!R7:R263)</f>
        <v>0</v>
      </c>
      <c r="K7" s="16"/>
      <c r="L7" s="14"/>
      <c r="M7" s="14"/>
      <c r="N7" s="17">
        <f t="shared" ref="N7:N15" si="0">SUM(K7:M7)</f>
        <v>0</v>
      </c>
      <c r="O7" s="46">
        <f>SUMIF('Daily Report'!$AE$7:$AE$263,'Cumulative Table'!$X7,'Daily Report'!$K$7:$K$263)</f>
        <v>0</v>
      </c>
      <c r="P7" s="47">
        <f>SUMIF('Daily Report'!$AE$7:$AE$263,'Cumulative Table'!$X7,'Daily Report'!$L$7:$L$263)</f>
        <v>0</v>
      </c>
      <c r="Q7" s="47">
        <f>SUMIF('Daily Report'!$AE$7:$AE$263,'Cumulative Table'!$X7,'Daily Report'!$M$7:$M$263)</f>
        <v>0</v>
      </c>
      <c r="R7" s="47">
        <f>SUMIF('Daily Report'!$AE$7:$AE$263,'Cumulative Table'!$X7,'Daily Report'!$N$7:$N$263)</f>
        <v>0</v>
      </c>
      <c r="S7" s="47">
        <f>SUMIF('Daily Report'!$AE$7:$AE$263,'Cumulative Table'!$X7,'Daily Report'!$O$7:$O$263)</f>
        <v>0</v>
      </c>
      <c r="T7" s="47">
        <f>SUMIF('Daily Report'!$AE$7:$AE$263,'Cumulative Table'!$X7,'Daily Report'!$P$7:$P$263)</f>
        <v>0</v>
      </c>
      <c r="U7" s="47">
        <f>SUMIF('Daily Report'!$AE$7:$AE$263,'Cumulative Table'!$X7,'Daily Report'!$Q$7:$Q$263)</f>
        <v>0</v>
      </c>
      <c r="V7" s="47"/>
      <c r="W7" s="48" t="e">
        <f t="shared" ref="W7:W16" si="1">H7/G7</f>
        <v>#DIV/0!</v>
      </c>
      <c r="X7" s="18" t="str">
        <f>A$7&amp;D7&amp;E7</f>
        <v>BR9125WHSS</v>
      </c>
      <c r="Y7" s="294">
        <v>46095</v>
      </c>
      <c r="Z7" s="224">
        <f>SUMIFS('Daily Report'!$H$7:$H$263, 'Daily Report'!$AD$7:$AD$263, $X7&amp;"KIEM", 'Daily Report'!$A$7:$A$263, $Y$7)</f>
        <v>0</v>
      </c>
      <c r="AA7" s="294">
        <v>46096</v>
      </c>
      <c r="AB7" s="224">
        <f>SUMIFS('Daily Report'!$H$7:$H$200,'Daily Report'!$AD$7:$AD$200,'Cumulative Table'!$X7&amp;"KIEM",'Daily Report'!$A$7:$A$200,'Cumulative Table'!$AA$7)</f>
        <v>0</v>
      </c>
      <c r="AC7" s="294">
        <v>46097</v>
      </c>
      <c r="AD7" s="224">
        <f>SUMIFS('Daily Report'!$H$7:$H$200,'Daily Report'!$AD$7:$AD$200,'Cumulative Table'!$X7&amp;"KIEM",'Daily Report'!$A$7:$A$200,'Cumulative Table'!$AC$7)</f>
        <v>0</v>
      </c>
      <c r="AE7" s="224">
        <f>SUMIFS('Daily Report'!$H$7:$H$200,'Daily Report'!$AD$7:$AD$200,'Cumulative Table'!$X7&amp;"KIEM",'Daily Report'!$A$7:$A$200,"&gt;="&amp;'Cumulative Table'!$Y$7,'Daily Report'!$A$7:$A$200,"&lt;="&amp;'Cumulative Table'!$AC$7)</f>
        <v>0</v>
      </c>
      <c r="AF7" s="297">
        <v>46095</v>
      </c>
      <c r="AG7" s="297">
        <v>46097</v>
      </c>
      <c r="AH7" s="225">
        <f>SUMIFS('Daily Report'!$H$7:$H$200,'Daily Report'!$AD$7:$AD$200,'Cumulative Table'!$X7&amp;"KIEM",'Daily Report'!$A$7:$A$200,"&gt;="&amp;'Cumulative Table'!$AF$7,'Daily Report'!$A$7:$A$200,"&lt;="&amp;'Cumulative Table'!$AG$7)</f>
        <v>0</v>
      </c>
      <c r="AI7" s="225">
        <f>SUMIFS('Daily Report'!$H$7:$H$200,'Daily Report'!$AD$7:$AD$200,'Cumulative Table'!$X7&amp;"TAIKIEM",'Daily Report'!$A$7:$A$200,"&gt;="&amp;'Cumulative Table'!$AF$7,'Daily Report'!$A$7:$A$200,"&lt;="&amp;'Cumulative Table'!$AG$7)</f>
        <v>0</v>
      </c>
    </row>
    <row r="8" spans="1:35" ht="15.75" thickBot="1">
      <c r="A8" s="268"/>
      <c r="B8" s="270"/>
      <c r="C8" s="270"/>
      <c r="D8" s="45" t="s">
        <v>161</v>
      </c>
      <c r="E8" s="19" t="s">
        <v>169</v>
      </c>
      <c r="F8" s="15" t="e">
        <f>SUMIF('Dữ Liệu'!#REF!,'Cumulative Table'!$X8,'Dữ Liệu'!$H$7:$H$134)</f>
        <v>#REF!</v>
      </c>
      <c r="G8" s="14">
        <f>SUMIF('Daily Report'!$AD$7:$AD$263,'Cumulative Table'!$X8&amp;"KIEM",'Daily Report'!$H$7:$H$263)</f>
        <v>133</v>
      </c>
      <c r="H8" s="14">
        <f>SUMIF('Daily Report'!$AD$7:$AD$263,'Cumulative Table'!$X8&amp;"TAIKIEM",'Daily Report'!$H$7:$H$263)</f>
        <v>18</v>
      </c>
      <c r="I8" s="14">
        <f>SUMIF('Daily Report'!$AE$7:$AE$263,'Cumulative Table'!$X8,'Daily Report'!$I$7:$I$263)</f>
        <v>133</v>
      </c>
      <c r="J8" s="14">
        <f>SUMIF('Daily Report'!AE8:AE264,'Cumulative Table'!X8:X202,'Daily Report'!R8:R264)</f>
        <v>0</v>
      </c>
      <c r="K8" s="21"/>
      <c r="L8" s="19"/>
      <c r="M8" s="19"/>
      <c r="N8" s="22">
        <f t="shared" si="0"/>
        <v>0</v>
      </c>
      <c r="O8" s="46">
        <f>SUMIF('Daily Report'!$AE$7:$AE$263,'Cumulative Table'!$X8,'Daily Report'!$K$7:$K$263)</f>
        <v>0</v>
      </c>
      <c r="P8" s="47">
        <f>SUMIF('Daily Report'!$AE$7:$AE$263,'Cumulative Table'!$X8,'Daily Report'!$L$7:$L$263)</f>
        <v>0</v>
      </c>
      <c r="Q8" s="47">
        <f>SUMIF('Daily Report'!$AE$7:$AE$263,'Cumulative Table'!$X8,'Daily Report'!$M$7:$M$263)</f>
        <v>2</v>
      </c>
      <c r="R8" s="47">
        <f>SUMIF('Daily Report'!$AE$7:$AE$263,'Cumulative Table'!$X8,'Daily Report'!$N$7:$N$263)</f>
        <v>0</v>
      </c>
      <c r="S8" s="47">
        <f>SUMIF('Daily Report'!$AE$7:$AE$263,'Cumulative Table'!$X8,'Daily Report'!$O$7:$O$263)</f>
        <v>12</v>
      </c>
      <c r="T8" s="47">
        <f>SUMIF('Daily Report'!$AE$7:$AE$263,'Cumulative Table'!$X8,'Daily Report'!$P$7:$P$263)</f>
        <v>4</v>
      </c>
      <c r="U8" s="47">
        <f>SUMIF('Daily Report'!$AE$7:$AE$263,'Cumulative Table'!$X8,'Daily Report'!$Q$7:$Q$263)</f>
        <v>0</v>
      </c>
      <c r="V8" s="49"/>
      <c r="W8" s="50">
        <f t="shared" si="1"/>
        <v>0.13533834586466165</v>
      </c>
      <c r="X8" s="18" t="str">
        <f>A$7&amp;D8&amp;E8</f>
        <v>BR9125WHS</v>
      </c>
      <c r="Y8" s="295"/>
      <c r="Z8" s="226">
        <f>SUMIFS('Daily Report'!$H$7:$H$263, 'Daily Report'!$AD$7:$AD$263, $X8&amp;"KIEM", 'Daily Report'!$A$7:$A$263, $Y$7)</f>
        <v>0</v>
      </c>
      <c r="AA8" s="295"/>
      <c r="AB8" s="226">
        <f>SUMIFS('Daily Report'!$H$7:$H$200,'Daily Report'!$AD$7:$AD$200,'Cumulative Table'!$X8&amp;"KIEM",'Daily Report'!$A$7:$A$200,'Cumulative Table'!$AA$7)</f>
        <v>0</v>
      </c>
      <c r="AC8" s="295"/>
      <c r="AD8" s="226">
        <f>SUMIFS('Daily Report'!$H$7:$H$200,'Daily Report'!$AD$7:$AD$200,'Cumulative Table'!$X8&amp;"KIEM",'Daily Report'!$A$7:$A$200,'Cumulative Table'!$AC$7)</f>
        <v>133</v>
      </c>
      <c r="AE8" s="226">
        <f>SUMIFS('Daily Report'!$H$7:$H$200,'Daily Report'!$AD$7:$AD$200,'Cumulative Table'!$X8&amp;"KIEM",'Daily Report'!$A$7:$A$200,"&gt;="&amp;'Cumulative Table'!$Y$7,'Daily Report'!$A$7:$A$200,"&lt;="&amp;'Cumulative Table'!$AC$7)</f>
        <v>133</v>
      </c>
      <c r="AF8" s="298"/>
      <c r="AG8" s="298"/>
      <c r="AH8" s="227">
        <f>SUMIFS('Daily Report'!$H$7:$H$200,'Daily Report'!$AD$7:$AD$200,'Cumulative Table'!$X8&amp;"KIEM",'Daily Report'!$A$7:$A$200,"&gt;="&amp;'Cumulative Table'!$AF$7,'Daily Report'!$A$7:$A$200,"&lt;="&amp;'Cumulative Table'!$AG$7)</f>
        <v>133</v>
      </c>
      <c r="AI8" s="228">
        <f>SUMIFS('Daily Report'!$H$7:$H$200,'Daily Report'!$AD$7:$AD$200,'Cumulative Table'!$X8&amp;"TAIKIEM",'Daily Report'!$A$7:$A$200,"&gt;="&amp;'Cumulative Table'!$AF$7,'Daily Report'!$A$7:$A$200,"&lt;="&amp;'Cumulative Table'!$AG$7)</f>
        <v>18</v>
      </c>
    </row>
    <row r="9" spans="1:35" ht="15.75" thickBot="1">
      <c r="A9" s="268"/>
      <c r="B9" s="270"/>
      <c r="C9" s="270"/>
      <c r="D9" s="45" t="s">
        <v>161</v>
      </c>
      <c r="E9" s="19" t="s">
        <v>166</v>
      </c>
      <c r="F9" s="15" t="e">
        <f>SUMIF('Dữ Liệu'!#REF!,'Cumulative Table'!$X9,'Dữ Liệu'!$H$7:$H$134)</f>
        <v>#REF!</v>
      </c>
      <c r="G9" s="14">
        <f>SUMIF('Daily Report'!$AD$7:$AD$263,'Cumulative Table'!$X9&amp;"KIEM",'Daily Report'!$H$7:$H$263)</f>
        <v>603</v>
      </c>
      <c r="H9" s="14">
        <f>SUMIF('Daily Report'!$AD$7:$AD$263,'Cumulative Table'!$X9&amp;"TAIKIEM",'Daily Report'!$H$7:$H$263)</f>
        <v>76</v>
      </c>
      <c r="I9" s="14">
        <f>SUMIF('Daily Report'!$AE$7:$AE$263,'Cumulative Table'!$X9,'Daily Report'!$I$7:$I$263)</f>
        <v>603</v>
      </c>
      <c r="J9" s="14">
        <f>SUMIF('Daily Report'!AE9:AE265,'Cumulative Table'!X9:X203,'Daily Report'!R9:R265)</f>
        <v>0</v>
      </c>
      <c r="K9" s="21"/>
      <c r="L9" s="19"/>
      <c r="M9" s="19"/>
      <c r="N9" s="22">
        <f t="shared" si="0"/>
        <v>0</v>
      </c>
      <c r="O9" s="46">
        <f>SUMIF('Daily Report'!$AE$7:$AE$263,'Cumulative Table'!$X9,'Daily Report'!$K$7:$K$263)</f>
        <v>2</v>
      </c>
      <c r="P9" s="47">
        <f>SUMIF('Daily Report'!$AE$7:$AE$263,'Cumulative Table'!$X9,'Daily Report'!$L$7:$L$263)</f>
        <v>0</v>
      </c>
      <c r="Q9" s="47">
        <f>SUMIF('Daily Report'!$AE$7:$AE$263,'Cumulative Table'!$X9,'Daily Report'!$M$7:$M$263)</f>
        <v>11</v>
      </c>
      <c r="R9" s="47">
        <f>SUMIF('Daily Report'!$AE$7:$AE$263,'Cumulative Table'!$X9,'Daily Report'!$N$7:$N$263)</f>
        <v>5</v>
      </c>
      <c r="S9" s="47">
        <f>SUMIF('Daily Report'!$AE$7:$AE$263,'Cumulative Table'!$X9,'Daily Report'!$O$7:$O$263)</f>
        <v>42</v>
      </c>
      <c r="T9" s="47">
        <f>SUMIF('Daily Report'!$AE$7:$AE$263,'Cumulative Table'!$X9,'Daily Report'!$P$7:$P$263)</f>
        <v>16</v>
      </c>
      <c r="U9" s="47">
        <f>SUMIF('Daily Report'!$AE$7:$AE$263,'Cumulative Table'!$X9,'Daily Report'!$Q$7:$Q$263)</f>
        <v>0</v>
      </c>
      <c r="V9" s="49"/>
      <c r="W9" s="50">
        <f t="shared" si="1"/>
        <v>0.12603648424543948</v>
      </c>
      <c r="X9" s="18" t="str">
        <f t="shared" ref="X9:X15" si="2">A$7&amp;D9&amp;E9</f>
        <v>BR9125WHM</v>
      </c>
      <c r="Y9" s="295"/>
      <c r="Z9" s="226">
        <f>SUMIFS('Daily Report'!$H$7:$H$263, 'Daily Report'!$AD$7:$AD$263, $X9&amp;"KIEM", 'Daily Report'!$A$7:$A$263, $Y$7)</f>
        <v>0</v>
      </c>
      <c r="AA9" s="295"/>
      <c r="AB9" s="226">
        <f>SUMIFS('Daily Report'!$H$7:$H$200,'Daily Report'!$AD$7:$AD$200,'Cumulative Table'!$X9&amp;"KIEM",'Daily Report'!$A$7:$A$200,'Cumulative Table'!$AA$7)</f>
        <v>0</v>
      </c>
      <c r="AC9" s="295"/>
      <c r="AD9" s="226">
        <f>SUMIFS('Daily Report'!$H$7:$H$200,'Daily Report'!$AD$7:$AD$200,'Cumulative Table'!$X9&amp;"KIEM",'Daily Report'!$A$7:$A$200,'Cumulative Table'!$AC$7)</f>
        <v>184</v>
      </c>
      <c r="AE9" s="226">
        <f>SUMIFS('Daily Report'!$H$7:$H$200,'Daily Report'!$AD$7:$AD$200,'Cumulative Table'!$X9&amp;"KIEM",'Daily Report'!$A$7:$A$200,"&gt;="&amp;'Cumulative Table'!$Y$7,'Daily Report'!$A$7:$A$200,"&lt;="&amp;'Cumulative Table'!$AC$7)</f>
        <v>184</v>
      </c>
      <c r="AF9" s="298"/>
      <c r="AG9" s="298"/>
      <c r="AH9" s="227">
        <f>SUMIFS('Daily Report'!$H$7:$H$200,'Daily Report'!$AD$7:$AD$200,'Cumulative Table'!$X9&amp;"KIEM",'Daily Report'!$A$7:$A$200,"&gt;="&amp;'Cumulative Table'!$AF$7,'Daily Report'!$A$7:$A$200,"&lt;="&amp;'Cumulative Table'!$AG$7)</f>
        <v>184</v>
      </c>
      <c r="AI9" s="228">
        <f>SUMIFS('Daily Report'!$H$7:$H$200,'Daily Report'!$AD$7:$AD$200,'Cumulative Table'!$X9&amp;"TAIKIEM",'Daily Report'!$A$7:$A$200,"&gt;="&amp;'Cumulative Table'!$AF$7,'Daily Report'!$A$7:$A$200,"&lt;="&amp;'Cumulative Table'!$AG$7)</f>
        <v>24</v>
      </c>
    </row>
    <row r="10" spans="1:35" ht="15.75" thickBot="1">
      <c r="A10" s="268"/>
      <c r="B10" s="270"/>
      <c r="C10" s="270"/>
      <c r="D10" s="45" t="s">
        <v>161</v>
      </c>
      <c r="E10" s="19" t="s">
        <v>162</v>
      </c>
      <c r="F10" s="15" t="e">
        <f>SUMIF('Dữ Liệu'!#REF!,'Cumulative Table'!$X10,'Dữ Liệu'!$H$7:$H$134)</f>
        <v>#REF!</v>
      </c>
      <c r="G10" s="14">
        <f>SUMIF('Daily Report'!$AD$7:$AD$263,'Cumulative Table'!$X10&amp;"KIEM",'Daily Report'!$H$7:$H$263)</f>
        <v>188</v>
      </c>
      <c r="H10" s="14">
        <f>SUMIF('Daily Report'!$AD$7:$AD$263,'Cumulative Table'!$X10&amp;"TAIKIEM",'Daily Report'!$H$7:$H$263)</f>
        <v>25</v>
      </c>
      <c r="I10" s="14">
        <f>SUMIF('Daily Report'!$AE$7:$AE$263,'Cumulative Table'!$X10,'Daily Report'!$I$7:$I$263)</f>
        <v>188</v>
      </c>
      <c r="J10" s="14">
        <f>SUMIF('Daily Report'!AE10:AE266,'Cumulative Table'!X10:X204,'Daily Report'!R10:R266)</f>
        <v>0</v>
      </c>
      <c r="K10" s="21"/>
      <c r="L10" s="19"/>
      <c r="M10" s="19"/>
      <c r="N10" s="22">
        <f t="shared" si="0"/>
        <v>0</v>
      </c>
      <c r="O10" s="46">
        <f>SUMIF('Daily Report'!$AE$7:$AE$263,'Cumulative Table'!$X10,'Daily Report'!$K$7:$K$263)</f>
        <v>1</v>
      </c>
      <c r="P10" s="47">
        <f>SUMIF('Daily Report'!$AE$7:$AE$263,'Cumulative Table'!$X10,'Daily Report'!$L$7:$L$263)</f>
        <v>0</v>
      </c>
      <c r="Q10" s="47">
        <f>SUMIF('Daily Report'!$AE$7:$AE$263,'Cumulative Table'!$X10,'Daily Report'!$M$7:$M$263)</f>
        <v>3</v>
      </c>
      <c r="R10" s="47">
        <f>SUMIF('Daily Report'!$AE$7:$AE$263,'Cumulative Table'!$X10,'Daily Report'!$N$7:$N$263)</f>
        <v>0</v>
      </c>
      <c r="S10" s="47">
        <f>SUMIF('Daily Report'!$AE$7:$AE$263,'Cumulative Table'!$X10,'Daily Report'!$O$7:$O$263)</f>
        <v>14</v>
      </c>
      <c r="T10" s="47">
        <f>SUMIF('Daily Report'!$AE$7:$AE$263,'Cumulative Table'!$X10,'Daily Report'!$P$7:$P$263)</f>
        <v>7</v>
      </c>
      <c r="U10" s="47">
        <f>SUMIF('Daily Report'!$AE$7:$AE$263,'Cumulative Table'!$X10,'Daily Report'!$Q$7:$Q$263)</f>
        <v>0</v>
      </c>
      <c r="V10" s="49"/>
      <c r="W10" s="50">
        <f t="shared" si="1"/>
        <v>0.13297872340425532</v>
      </c>
      <c r="X10" s="18" t="str">
        <f t="shared" si="2"/>
        <v>BR9125WHL</v>
      </c>
      <c r="Y10" s="295"/>
      <c r="Z10" s="226">
        <f>SUMIFS('Daily Report'!$H$7:$H$263, 'Daily Report'!$AD$7:$AD$263, $X10&amp;"KIEM", 'Daily Report'!$A$7:$A$263, $Y$7)</f>
        <v>188</v>
      </c>
      <c r="AA10" s="295"/>
      <c r="AB10" s="226">
        <f>SUMIFS('Daily Report'!$H$7:$H$200,'Daily Report'!$AD$7:$AD$200,'Cumulative Table'!$X10&amp;"KIEM",'Daily Report'!$A$7:$A$200,'Cumulative Table'!$AA$7)</f>
        <v>0</v>
      </c>
      <c r="AC10" s="295"/>
      <c r="AD10" s="226">
        <f>SUMIFS('Daily Report'!$H$7:$H$200,'Daily Report'!$AD$7:$AD$200,'Cumulative Table'!$X10&amp;"KIEM",'Daily Report'!$A$7:$A$200,'Cumulative Table'!$AC$7)</f>
        <v>0</v>
      </c>
      <c r="AE10" s="226">
        <f>SUMIFS('Daily Report'!$H$7:$H$200,'Daily Report'!$AD$7:$AD$200,'Cumulative Table'!$X10&amp;"KIEM",'Daily Report'!$A$7:$A$200,"&gt;="&amp;'Cumulative Table'!$Y$7,'Daily Report'!$A$7:$A$200,"&lt;="&amp;'Cumulative Table'!$AC$7)</f>
        <v>188</v>
      </c>
      <c r="AF10" s="298"/>
      <c r="AG10" s="298"/>
      <c r="AH10" s="227">
        <f>SUMIFS('Daily Report'!$H$7:$H$200,'Daily Report'!$AD$7:$AD$200,'Cumulative Table'!$X10&amp;"KIEM",'Daily Report'!$A$7:$A$200,"&gt;="&amp;'Cumulative Table'!$AF$7,'Daily Report'!$A$7:$A$200,"&lt;="&amp;'Cumulative Table'!$AG$7)</f>
        <v>188</v>
      </c>
      <c r="AI10" s="228">
        <f>SUMIFS('Daily Report'!$H$7:$H$200,'Daily Report'!$AD$7:$AD$200,'Cumulative Table'!$X10&amp;"TAIKIEM",'Daily Report'!$A$7:$A$200,"&gt;="&amp;'Cumulative Table'!$AF$7,'Daily Report'!$A$7:$A$200,"&lt;="&amp;'Cumulative Table'!$AG$7)</f>
        <v>25</v>
      </c>
    </row>
    <row r="11" spans="1:35" ht="15.75" thickBot="1">
      <c r="A11" s="268"/>
      <c r="B11" s="270"/>
      <c r="C11" s="270"/>
      <c r="D11" s="45" t="s">
        <v>161</v>
      </c>
      <c r="E11" s="19" t="s">
        <v>164</v>
      </c>
      <c r="F11" s="15" t="e">
        <f>SUMIF('Dữ Liệu'!#REF!,'Cumulative Table'!$X11,'Dữ Liệu'!$H$7:$H$134)</f>
        <v>#REF!</v>
      </c>
      <c r="G11" s="14">
        <f>SUMIF('Daily Report'!$AD$7:$AD$263,'Cumulative Table'!$X11&amp;"KIEM",'Daily Report'!$H$7:$H$263)</f>
        <v>128</v>
      </c>
      <c r="H11" s="14">
        <f>SUMIF('Daily Report'!$AD$7:$AD$263,'Cumulative Table'!$X11&amp;"TAIKIEM",'Daily Report'!$H$7:$H$263)</f>
        <v>14</v>
      </c>
      <c r="I11" s="14">
        <f>SUMIF('Daily Report'!$AE$7:$AE$263,'Cumulative Table'!$X11,'Daily Report'!$I$7:$I$263)</f>
        <v>128</v>
      </c>
      <c r="J11" s="14">
        <f>SUMIF('Daily Report'!AE11:AE267,'Cumulative Table'!X11:X205,'Daily Report'!R11:R267)</f>
        <v>0</v>
      </c>
      <c r="K11" s="21"/>
      <c r="L11" s="19"/>
      <c r="M11" s="19"/>
      <c r="N11" s="22">
        <f t="shared" si="0"/>
        <v>0</v>
      </c>
      <c r="O11" s="46">
        <f>SUMIF('Daily Report'!$AE$7:$AE$263,'Cumulative Table'!$X11,'Daily Report'!$K$7:$K$263)</f>
        <v>0</v>
      </c>
      <c r="P11" s="47">
        <f>SUMIF('Daily Report'!$AE$7:$AE$263,'Cumulative Table'!$X11,'Daily Report'!$L$7:$L$263)</f>
        <v>0</v>
      </c>
      <c r="Q11" s="47">
        <f>SUMIF('Daily Report'!$AE$7:$AE$263,'Cumulative Table'!$X11,'Daily Report'!$M$7:$M$263)</f>
        <v>3</v>
      </c>
      <c r="R11" s="47">
        <f>SUMIF('Daily Report'!$AE$7:$AE$263,'Cumulative Table'!$X11,'Daily Report'!$N$7:$N$263)</f>
        <v>0</v>
      </c>
      <c r="S11" s="47">
        <f>SUMIF('Daily Report'!$AE$7:$AE$263,'Cumulative Table'!$X11,'Daily Report'!$O$7:$O$263)</f>
        <v>8</v>
      </c>
      <c r="T11" s="47">
        <f>SUMIF('Daily Report'!$AE$7:$AE$263,'Cumulative Table'!$X11,'Daily Report'!$P$7:$P$263)</f>
        <v>3</v>
      </c>
      <c r="U11" s="47">
        <f>SUMIF('Daily Report'!$AE$7:$AE$263,'Cumulative Table'!$X11,'Daily Report'!$Q$7:$Q$263)</f>
        <v>0</v>
      </c>
      <c r="V11" s="49"/>
      <c r="W11" s="50">
        <f t="shared" si="1"/>
        <v>0.109375</v>
      </c>
      <c r="X11" s="18" t="str">
        <f t="shared" si="2"/>
        <v>BR9125WHLL</v>
      </c>
      <c r="Y11" s="295"/>
      <c r="Z11" s="226">
        <f>SUMIFS('Daily Report'!$H$7:$H$263, 'Daily Report'!$AD$7:$AD$263, $X11&amp;"KIEM", 'Daily Report'!$A$7:$A$263, $Y$7)</f>
        <v>104</v>
      </c>
      <c r="AA11" s="295"/>
      <c r="AB11" s="226">
        <f>SUMIFS('Daily Report'!$H$7:$H$200,'Daily Report'!$AD$7:$AD$200,'Cumulative Table'!$X11&amp;"KIEM",'Daily Report'!$A$7:$A$200,'Cumulative Table'!$AA$7)</f>
        <v>0</v>
      </c>
      <c r="AC11" s="295"/>
      <c r="AD11" s="226">
        <f>SUMIFS('Daily Report'!$H$7:$H$200,'Daily Report'!$AD$7:$AD$200,'Cumulative Table'!$X11&amp;"KIEM",'Daily Report'!$A$7:$A$200,'Cumulative Table'!$AC$7)</f>
        <v>24</v>
      </c>
      <c r="AE11" s="226">
        <f>SUMIFS('Daily Report'!$H$7:$H$200,'Daily Report'!$AD$7:$AD$200,'Cumulative Table'!$X11&amp;"KIEM",'Daily Report'!$A$7:$A$200,"&gt;="&amp;'Cumulative Table'!$Y$7,'Daily Report'!$A$7:$A$200,"&lt;="&amp;'Cumulative Table'!$AC$7)</f>
        <v>128</v>
      </c>
      <c r="AF11" s="298"/>
      <c r="AG11" s="298"/>
      <c r="AH11" s="227">
        <f>SUMIFS('Daily Report'!$H$7:$H$200,'Daily Report'!$AD$7:$AD$200,'Cumulative Table'!$X11&amp;"KIEM",'Daily Report'!$A$7:$A$200,"&gt;="&amp;'Cumulative Table'!$AF$7,'Daily Report'!$A$7:$A$200,"&lt;="&amp;'Cumulative Table'!$AG$7)</f>
        <v>128</v>
      </c>
      <c r="AI11" s="228">
        <f>SUMIFS('Daily Report'!$H$7:$H$200,'Daily Report'!$AD$7:$AD$200,'Cumulative Table'!$X11&amp;"TAIKIEM",'Daily Report'!$A$7:$A$200,"&gt;="&amp;'Cumulative Table'!$AF$7,'Daily Report'!$A$7:$A$200,"&lt;="&amp;'Cumulative Table'!$AG$7)</f>
        <v>14</v>
      </c>
    </row>
    <row r="12" spans="1:35" ht="16.899999999999999" customHeight="1" thickBot="1">
      <c r="A12" s="268"/>
      <c r="B12" s="270"/>
      <c r="C12" s="270"/>
      <c r="D12" s="45" t="s">
        <v>161</v>
      </c>
      <c r="E12" s="19" t="s">
        <v>172</v>
      </c>
      <c r="F12" s="15" t="e">
        <f>SUMIF('Dữ Liệu'!#REF!,'Cumulative Table'!$X12,'Dữ Liệu'!$H$7:$H$134)</f>
        <v>#REF!</v>
      </c>
      <c r="G12" s="14">
        <f>SUMIF('Daily Report'!$AD$7:$AD$263,'Cumulative Table'!$X12&amp;"KIEM",'Daily Report'!$H$7:$H$263)</f>
        <v>23</v>
      </c>
      <c r="H12" s="14">
        <f>SUMIF('Daily Report'!$AD$7:$AD$263,'Cumulative Table'!$X12&amp;"TAIKIEM",'Daily Report'!$H$7:$H$263)</f>
        <v>2</v>
      </c>
      <c r="I12" s="14">
        <f>SUMIF('Daily Report'!$AE$7:$AE$263,'Cumulative Table'!$X12,'Daily Report'!$I$7:$I$263)</f>
        <v>23</v>
      </c>
      <c r="J12" s="14">
        <f>SUMIF('Daily Report'!AE12:AE268,'Cumulative Table'!X12:X206,'Daily Report'!R12:R268)</f>
        <v>0</v>
      </c>
      <c r="K12" s="21"/>
      <c r="L12" s="19"/>
      <c r="M12" s="19"/>
      <c r="N12" s="22">
        <f t="shared" si="0"/>
        <v>0</v>
      </c>
      <c r="O12" s="46">
        <f>SUMIF('Daily Report'!$AE$7:$AE$263,'Cumulative Table'!$X12,'Daily Report'!$K$7:$K$263)</f>
        <v>0</v>
      </c>
      <c r="P12" s="47">
        <f>SUMIF('Daily Report'!$AE$7:$AE$263,'Cumulative Table'!$X12,'Daily Report'!$L$7:$L$263)</f>
        <v>0</v>
      </c>
      <c r="Q12" s="47">
        <f>SUMIF('Daily Report'!$AE$7:$AE$263,'Cumulative Table'!$X12,'Daily Report'!$M$7:$M$263)</f>
        <v>0</v>
      </c>
      <c r="R12" s="47">
        <f>SUMIF('Daily Report'!$AE$7:$AE$263,'Cumulative Table'!$X12,'Daily Report'!$N$7:$N$263)</f>
        <v>0</v>
      </c>
      <c r="S12" s="47">
        <f>SUMIF('Daily Report'!$AE$7:$AE$263,'Cumulative Table'!$X12,'Daily Report'!$O$7:$O$263)</f>
        <v>2</v>
      </c>
      <c r="T12" s="47">
        <f>SUMIF('Daily Report'!$AE$7:$AE$263,'Cumulative Table'!$X12,'Daily Report'!$P$7:$P$263)</f>
        <v>0</v>
      </c>
      <c r="U12" s="47">
        <f>SUMIF('Daily Report'!$AE$7:$AE$263,'Cumulative Table'!$X12,'Daily Report'!$Q$7:$Q$263)</f>
        <v>0</v>
      </c>
      <c r="V12" s="49"/>
      <c r="W12" s="50">
        <f t="shared" si="1"/>
        <v>8.6956521739130432E-2</v>
      </c>
      <c r="X12" s="18" t="str">
        <f t="shared" si="2"/>
        <v>BR9125WHEL</v>
      </c>
      <c r="Y12" s="295"/>
      <c r="Z12" s="226">
        <f>SUMIFS('Daily Report'!$H$7:$H$263, 'Daily Report'!$AD$7:$AD$263, $X12&amp;"KIEM", 'Daily Report'!$A$7:$A$263, $Y$7)</f>
        <v>0</v>
      </c>
      <c r="AA12" s="295"/>
      <c r="AB12" s="226">
        <f>SUMIFS('Daily Report'!$H$7:$H$200,'Daily Report'!$AD$7:$AD$200,'Cumulative Table'!$X12&amp;"KIEM",'Daily Report'!$A$7:$A$200,'Cumulative Table'!$AA$7)</f>
        <v>0</v>
      </c>
      <c r="AC12" s="295"/>
      <c r="AD12" s="226">
        <f>SUMIFS('Daily Report'!$H$7:$H$200,'Daily Report'!$AD$7:$AD$200,'Cumulative Table'!$X12&amp;"KIEM",'Daily Report'!$A$7:$A$200,'Cumulative Table'!$AC$7)</f>
        <v>23</v>
      </c>
      <c r="AE12" s="226">
        <f>SUMIFS('Daily Report'!$H$7:$H$200,'Daily Report'!$AD$7:$AD$200,'Cumulative Table'!$X12&amp;"KIEM",'Daily Report'!$A$7:$A$200,"&gt;="&amp;'Cumulative Table'!$Y$7,'Daily Report'!$A$7:$A$200,"&lt;="&amp;'Cumulative Table'!$AC$7)</f>
        <v>23</v>
      </c>
      <c r="AF12" s="298"/>
      <c r="AG12" s="298"/>
      <c r="AH12" s="227">
        <f>SUMIFS('Daily Report'!$H$7:$H$200,'Daily Report'!$AD$7:$AD$200,'Cumulative Table'!$X12&amp;"KIEM",'Daily Report'!$A$7:$A$200,"&gt;="&amp;'Cumulative Table'!$AF$7,'Daily Report'!$A$7:$A$200,"&lt;="&amp;'Cumulative Table'!$AG$7)</f>
        <v>23</v>
      </c>
      <c r="AI12" s="228">
        <f>SUMIFS('Daily Report'!$H$7:$H$200,'Daily Report'!$AD$7:$AD$200,'Cumulative Table'!$X12&amp;"TAIKIEM",'Daily Report'!$A$7:$A$200,"&gt;="&amp;'Cumulative Table'!$AF$7,'Daily Report'!$A$7:$A$200,"&lt;="&amp;'Cumulative Table'!$AG$7)</f>
        <v>2</v>
      </c>
    </row>
    <row r="13" spans="1:35" ht="15.75" thickBot="1">
      <c r="A13" s="268"/>
      <c r="B13" s="270"/>
      <c r="C13" s="270"/>
      <c r="D13" s="45" t="s">
        <v>161</v>
      </c>
      <c r="E13" s="19" t="s">
        <v>173</v>
      </c>
      <c r="F13" s="15" t="e">
        <f>SUMIF('Dữ Liệu'!#REF!,'Cumulative Table'!$X13,'Dữ Liệu'!$H$7:$H$134)</f>
        <v>#REF!</v>
      </c>
      <c r="G13" s="14">
        <f>SUMIF('Daily Report'!$AD$7:$AD$263,'Cumulative Table'!$X13&amp;"KIEM",'Daily Report'!$H$7:$H$263)</f>
        <v>14</v>
      </c>
      <c r="H13" s="14">
        <f>SUMIF('Daily Report'!$AD$7:$AD$263,'Cumulative Table'!$X13&amp;"TAIKIEM",'Daily Report'!$H$7:$H$263)</f>
        <v>1</v>
      </c>
      <c r="I13" s="14">
        <f>SUMIF('Daily Report'!$AE$7:$AE$263,'Cumulative Table'!$X13,'Daily Report'!$I$7:$I$263)</f>
        <v>14</v>
      </c>
      <c r="J13" s="14">
        <f>SUMIF('Daily Report'!AE13:AE269,'Cumulative Table'!X13:X207,'Daily Report'!R13:R269)</f>
        <v>0</v>
      </c>
      <c r="K13" s="21"/>
      <c r="L13" s="19"/>
      <c r="M13" s="19"/>
      <c r="N13" s="22">
        <f t="shared" si="0"/>
        <v>0</v>
      </c>
      <c r="O13" s="46">
        <f>SUMIF('Daily Report'!$AE$7:$AE$263,'Cumulative Table'!$X13,'Daily Report'!$K$7:$K$263)</f>
        <v>0</v>
      </c>
      <c r="P13" s="47">
        <f>SUMIF('Daily Report'!$AE$7:$AE$263,'Cumulative Table'!$X13,'Daily Report'!$L$7:$L$263)</f>
        <v>0</v>
      </c>
      <c r="Q13" s="47">
        <f>SUMIF('Daily Report'!$AE$7:$AE$263,'Cumulative Table'!$X13,'Daily Report'!$M$7:$M$263)</f>
        <v>1</v>
      </c>
      <c r="R13" s="47">
        <f>SUMIF('Daily Report'!$AE$7:$AE$263,'Cumulative Table'!$X13,'Daily Report'!$N$7:$N$263)</f>
        <v>0</v>
      </c>
      <c r="S13" s="47">
        <f>SUMIF('Daily Report'!$AE$7:$AE$263,'Cumulative Table'!$X13,'Daily Report'!$O$7:$O$263)</f>
        <v>0</v>
      </c>
      <c r="T13" s="47">
        <f>SUMIF('Daily Report'!$AE$7:$AE$263,'Cumulative Table'!$X13,'Daily Report'!$P$7:$P$263)</f>
        <v>0</v>
      </c>
      <c r="U13" s="47">
        <f>SUMIF('Daily Report'!$AE$7:$AE$263,'Cumulative Table'!$X13,'Daily Report'!$Q$7:$Q$263)</f>
        <v>0</v>
      </c>
      <c r="V13" s="49"/>
      <c r="W13" s="50">
        <f t="shared" si="1"/>
        <v>7.1428571428571425E-2</v>
      </c>
      <c r="X13" s="18" t="str">
        <f t="shared" si="2"/>
        <v>BR9125WH4L</v>
      </c>
      <c r="Y13" s="295"/>
      <c r="Z13" s="226">
        <f>SUMIFS('Daily Report'!$H$7:$H$263, 'Daily Report'!$AD$7:$AD$263, $X13&amp;"KIEM", 'Daily Report'!$A$7:$A$263, $Y$7)</f>
        <v>0</v>
      </c>
      <c r="AA13" s="295"/>
      <c r="AB13" s="226">
        <f>SUMIFS('Daily Report'!$H$7:$H$200,'Daily Report'!$AD$7:$AD$200,'Cumulative Table'!$X13&amp;"KIEM",'Daily Report'!$A$7:$A$200,'Cumulative Table'!$AA$7)</f>
        <v>0</v>
      </c>
      <c r="AC13" s="295"/>
      <c r="AD13" s="226">
        <f>SUMIFS('Daily Report'!$H$7:$H$200,'Daily Report'!$AD$7:$AD$200,'Cumulative Table'!$X13&amp;"KIEM",'Daily Report'!$A$7:$A$200,'Cumulative Table'!$AC$7)</f>
        <v>14</v>
      </c>
      <c r="AE13" s="226">
        <f>SUMIFS('Daily Report'!$H$7:$H$200,'Daily Report'!$AD$7:$AD$200,'Cumulative Table'!$X13&amp;"KIEM",'Daily Report'!$A$7:$A$200,"&gt;="&amp;'Cumulative Table'!$Y$7,'Daily Report'!$A$7:$A$200,"&lt;="&amp;'Cumulative Table'!$AC$7)</f>
        <v>14</v>
      </c>
      <c r="AF13" s="298"/>
      <c r="AG13" s="298"/>
      <c r="AH13" s="227">
        <f>SUMIFS('Daily Report'!$H$7:$H$200,'Daily Report'!$AD$7:$AD$200,'Cumulative Table'!$X13&amp;"KIEM",'Daily Report'!$A$7:$A$200,"&gt;="&amp;'Cumulative Table'!$AF$7,'Daily Report'!$A$7:$A$200,"&lt;="&amp;'Cumulative Table'!$AG$7)</f>
        <v>14</v>
      </c>
      <c r="AI13" s="228">
        <f>SUMIFS('Daily Report'!$H$7:$H$200,'Daily Report'!$AD$7:$AD$200,'Cumulative Table'!$X13&amp;"TAIKIEM",'Daily Report'!$A$7:$A$200,"&gt;="&amp;'Cumulative Table'!$AF$7,'Daily Report'!$A$7:$A$200,"&lt;="&amp;'Cumulative Table'!$AG$7)</f>
        <v>1</v>
      </c>
    </row>
    <row r="14" spans="1:35" ht="15.75" thickBot="1">
      <c r="A14" s="268"/>
      <c r="B14" s="270"/>
      <c r="C14" s="270"/>
      <c r="D14" s="45" t="s">
        <v>161</v>
      </c>
      <c r="E14" s="19" t="s">
        <v>175</v>
      </c>
      <c r="F14" s="15" t="e">
        <f>SUMIF('Dữ Liệu'!#REF!,'Cumulative Table'!$X14,'Dữ Liệu'!$H$7:$H$134)</f>
        <v>#REF!</v>
      </c>
      <c r="G14" s="14">
        <f>SUMIF('Daily Report'!$AD$7:$AD$263,'Cumulative Table'!$X14&amp;"KIEM",'Daily Report'!$H$7:$H$263)</f>
        <v>13</v>
      </c>
      <c r="H14" s="14">
        <f>SUMIF('Daily Report'!$AD$7:$AD$263,'Cumulative Table'!$X14&amp;"TAIKIEM",'Daily Report'!$H$7:$H$263)</f>
        <v>1</v>
      </c>
      <c r="I14" s="14">
        <f>SUMIF('Daily Report'!$AE$7:$AE$263,'Cumulative Table'!$X14,'Daily Report'!$I$7:$I$263)</f>
        <v>13</v>
      </c>
      <c r="J14" s="14">
        <f>SUMIF('Daily Report'!AE13:AE269,'Cumulative Table'!X14:X207,'Daily Report'!R13:R269)</f>
        <v>0</v>
      </c>
      <c r="K14" s="21"/>
      <c r="L14" s="19"/>
      <c r="M14" s="19"/>
      <c r="N14" s="22">
        <f t="shared" ref="N14" si="3">SUM(K14:M14)</f>
        <v>0</v>
      </c>
      <c r="O14" s="46">
        <f>SUMIF('Daily Report'!$AE$7:$AE$263,'Cumulative Table'!$X14,'Daily Report'!$K$7:$K$263)</f>
        <v>0</v>
      </c>
      <c r="P14" s="47">
        <f>SUMIF('Daily Report'!$AE$7:$AE$263,'Cumulative Table'!$X14,'Daily Report'!$L$7:$L$263)</f>
        <v>0</v>
      </c>
      <c r="Q14" s="47">
        <f>SUMIF('Daily Report'!$AE$7:$AE$263,'Cumulative Table'!$X14,'Daily Report'!$M$7:$M$263)</f>
        <v>0</v>
      </c>
      <c r="R14" s="47">
        <f>SUMIF('Daily Report'!$AE$7:$AE$263,'Cumulative Table'!$X14,'Daily Report'!$N$7:$N$263)</f>
        <v>0</v>
      </c>
      <c r="S14" s="47">
        <f>SUMIF('Daily Report'!$AE$7:$AE$263,'Cumulative Table'!$X14,'Daily Report'!$O$7:$O$263)</f>
        <v>1</v>
      </c>
      <c r="T14" s="47">
        <f>SUMIF('Daily Report'!$AE$7:$AE$263,'Cumulative Table'!$X14,'Daily Report'!$P$7:$P$263)</f>
        <v>0</v>
      </c>
      <c r="U14" s="47">
        <f>SUMIF('Daily Report'!$AE$7:$AE$263,'Cumulative Table'!$X14,'Daily Report'!$Q$7:$Q$263)</f>
        <v>0</v>
      </c>
      <c r="V14" s="49"/>
      <c r="W14" s="50">
        <f t="shared" si="1"/>
        <v>7.6923076923076927E-2</v>
      </c>
      <c r="X14" s="18" t="str">
        <f t="shared" si="2"/>
        <v>BR9125WH5L</v>
      </c>
      <c r="Y14" s="295"/>
      <c r="Z14" s="226">
        <f>SUMIFS('Daily Report'!$H$7:$H$263, 'Daily Report'!$AD$7:$AD$263, $X14&amp;"KIEM", 'Daily Report'!$A$7:$A$263, $Y$7)</f>
        <v>0</v>
      </c>
      <c r="AA14" s="295"/>
      <c r="AB14" s="226">
        <f>SUMIFS('Daily Report'!$H$7:$H$200,'Daily Report'!$AD$7:$AD$200,'Cumulative Table'!$X14&amp;"KIEM",'Daily Report'!$A$7:$A$200,'Cumulative Table'!$AA$7)</f>
        <v>0</v>
      </c>
      <c r="AC14" s="295"/>
      <c r="AD14" s="226">
        <f>SUMIFS('Daily Report'!$H$7:$H$200,'Daily Report'!$AD$7:$AD$200,'Cumulative Table'!$X14&amp;"KIEM",'Daily Report'!$A$7:$A$200,'Cumulative Table'!$AC$7)</f>
        <v>13</v>
      </c>
      <c r="AE14" s="226">
        <f>SUMIFS('Daily Report'!$H$7:$H$200,'Daily Report'!$AD$7:$AD$200,'Cumulative Table'!$X14&amp;"KIEM",'Daily Report'!$A$7:$A$200,"&gt;="&amp;'Cumulative Table'!$Y$7,'Daily Report'!$A$7:$A$200,"&lt;="&amp;'Cumulative Table'!$AC$7)</f>
        <v>13</v>
      </c>
      <c r="AF14" s="298"/>
      <c r="AG14" s="298"/>
      <c r="AH14" s="227">
        <f>SUMIFS('Daily Report'!$H$7:$H$200,'Daily Report'!$AD$7:$AD$200,'Cumulative Table'!$X14&amp;"KIEM",'Daily Report'!$A$7:$A$200,"&gt;="&amp;'Cumulative Table'!$AF$7,'Daily Report'!$A$7:$A$200,"&lt;="&amp;'Cumulative Table'!$AG$7)</f>
        <v>13</v>
      </c>
      <c r="AI14" s="228">
        <f>SUMIFS('Daily Report'!$H$7:$H$200,'Daily Report'!$AD$7:$AD$200,'Cumulative Table'!$X14&amp;"TAIKIEM",'Daily Report'!$A$7:$A$200,"&gt;="&amp;'Cumulative Table'!$AF$7,'Daily Report'!$A$7:$A$200,"&lt;="&amp;'Cumulative Table'!$AG$7)</f>
        <v>1</v>
      </c>
    </row>
    <row r="15" spans="1:35" ht="15.75" thickBot="1">
      <c r="A15" s="268"/>
      <c r="B15" s="270"/>
      <c r="C15" s="270"/>
      <c r="D15" s="45" t="s">
        <v>161</v>
      </c>
      <c r="E15" s="19" t="s">
        <v>176</v>
      </c>
      <c r="F15" s="15" t="e">
        <f>SUMIF('Dữ Liệu'!#REF!,'Cumulative Table'!$X15,'Dữ Liệu'!$H$7:$H$134)</f>
        <v>#REF!</v>
      </c>
      <c r="G15" s="14">
        <f>SUMIF('Daily Report'!$AD$7:$AD$263,'Cumulative Table'!$X15&amp;"KIEM",'Daily Report'!$H$7:$H$263)</f>
        <v>0</v>
      </c>
      <c r="H15" s="14">
        <f>SUMIF('Daily Report'!$AD$7:$AD$263,'Cumulative Table'!$X15&amp;"TAIKIEM",'Daily Report'!$H$7:$H$263)</f>
        <v>0</v>
      </c>
      <c r="I15" s="14">
        <f>SUMIF('Daily Report'!$AE$7:$AE$263,'Cumulative Table'!$X15,'Daily Report'!$I$7:$I$263)</f>
        <v>0</v>
      </c>
      <c r="J15" s="14">
        <f>SUMIF('Daily Report'!AE14:AE270,'Cumulative Table'!X15:X208,'Daily Report'!R14:R270)</f>
        <v>0</v>
      </c>
      <c r="K15" s="21"/>
      <c r="L15" s="19"/>
      <c r="M15" s="19"/>
      <c r="N15" s="22">
        <f t="shared" si="0"/>
        <v>0</v>
      </c>
      <c r="O15" s="46">
        <f>SUMIF('Daily Report'!$AE$7:$AE$263,'Cumulative Table'!$X15,'Daily Report'!$K$7:$K$263)</f>
        <v>0</v>
      </c>
      <c r="P15" s="47">
        <f>SUMIF('Daily Report'!$AE$7:$AE$263,'Cumulative Table'!$X15,'Daily Report'!$L$7:$L$263)</f>
        <v>0</v>
      </c>
      <c r="Q15" s="47">
        <f>SUMIF('Daily Report'!$AE$7:$AE$263,'Cumulative Table'!$X15,'Daily Report'!$M$7:$M$263)</f>
        <v>0</v>
      </c>
      <c r="R15" s="47">
        <f>SUMIF('Daily Report'!$AE$7:$AE$263,'Cumulative Table'!$X15,'Daily Report'!$N$7:$N$263)</f>
        <v>0</v>
      </c>
      <c r="S15" s="47">
        <f>SUMIF('Daily Report'!$AE$7:$AE$263,'Cumulative Table'!$X15,'Daily Report'!$O$7:$O$263)</f>
        <v>0</v>
      </c>
      <c r="T15" s="47">
        <f>SUMIF('Daily Report'!$AE$7:$AE$263,'Cumulative Table'!$X15,'Daily Report'!$P$7:$P$263)</f>
        <v>0</v>
      </c>
      <c r="U15" s="47">
        <f>SUMIF('Daily Report'!$AE$7:$AE$263,'Cumulative Table'!$X15,'Daily Report'!$Q$7:$Q$263)</f>
        <v>0</v>
      </c>
      <c r="V15" s="49"/>
      <c r="W15" s="50" t="e">
        <f t="shared" si="1"/>
        <v>#DIV/0!</v>
      </c>
      <c r="X15" s="18" t="str">
        <f t="shared" si="2"/>
        <v>BR9125WH6L</v>
      </c>
      <c r="Y15" s="296"/>
      <c r="Z15" s="229">
        <f>SUMIFS('Daily Report'!$H$7:$H$263, 'Daily Report'!$AD$7:$AD$263, $X15&amp;"KIEM", 'Daily Report'!$A$7:$A$263, $Y$7)</f>
        <v>0</v>
      </c>
      <c r="AA15" s="296"/>
      <c r="AB15" s="229">
        <f>SUMIFS('Daily Report'!$H$7:$H$200,'Daily Report'!$AD$7:$AD$200,'Cumulative Table'!$X15&amp;"KIEM",'Daily Report'!$A$7:$A$200,'Cumulative Table'!$AA$7)</f>
        <v>0</v>
      </c>
      <c r="AC15" s="296"/>
      <c r="AD15" s="229">
        <f>SUMIFS('Daily Report'!$H$7:$H$200,'Daily Report'!$AD$7:$AD$200,'Cumulative Table'!$X15&amp;"KIEM",'Daily Report'!$A$7:$A$200,'Cumulative Table'!$AC$7)</f>
        <v>0</v>
      </c>
      <c r="AE15" s="229">
        <f>SUMIFS('Daily Report'!$H$7:$H$200,'Daily Report'!$AD$7:$AD$200,'Cumulative Table'!$X15&amp;"KIEM",'Daily Report'!$A$7:$A$200,"&gt;="&amp;'Cumulative Table'!$Y$7,'Daily Report'!$A$7:$A$200,"&lt;="&amp;'Cumulative Table'!$AC$7)</f>
        <v>0</v>
      </c>
      <c r="AF15" s="299"/>
      <c r="AG15" s="299"/>
      <c r="AH15" s="230">
        <f>SUMIFS('Daily Report'!$H$7:$H$200,'Daily Report'!$AD$7:$AD$200,'Cumulative Table'!$X15&amp;"KIEM",'Daily Report'!$A$7:$A$200,"&gt;="&amp;'Cumulative Table'!$AF$7,'Daily Report'!$A$7:$A$200,"&lt;="&amp;'Cumulative Table'!$AG$7)</f>
        <v>0</v>
      </c>
      <c r="AI15" s="231">
        <f>SUMIFS('Daily Report'!$H$7:$H$200,'Daily Report'!$AD$7:$AD$200,'Cumulative Table'!$X15&amp;"TAIKIEM",'Daily Report'!$A$7:$A$200,"&gt;="&amp;'Cumulative Table'!$AF$7,'Daily Report'!$A$7:$A$200,"&lt;="&amp;'Cumulative Table'!$AG$7)</f>
        <v>0</v>
      </c>
    </row>
    <row r="16" spans="1:35" s="26" customFormat="1" ht="21.75" customHeight="1" thickBot="1">
      <c r="A16" s="271" t="s">
        <v>114</v>
      </c>
      <c r="B16" s="272"/>
      <c r="C16" s="272"/>
      <c r="D16" s="272"/>
      <c r="E16" s="273"/>
      <c r="F16" s="23" t="e">
        <f t="shared" ref="F16:V16" si="4">SUM(F7:F15)</f>
        <v>#REF!</v>
      </c>
      <c r="G16" s="23">
        <f>SUM(G7:G15)</f>
        <v>1102</v>
      </c>
      <c r="H16" s="25">
        <f t="shared" si="4"/>
        <v>137</v>
      </c>
      <c r="I16" s="35">
        <f>SUM(I7:I15)</f>
        <v>1102</v>
      </c>
      <c r="J16" s="23">
        <f t="shared" si="4"/>
        <v>0</v>
      </c>
      <c r="K16" s="24">
        <f t="shared" si="4"/>
        <v>0</v>
      </c>
      <c r="L16" s="24">
        <f t="shared" si="4"/>
        <v>0</v>
      </c>
      <c r="M16" s="23">
        <f t="shared" si="4"/>
        <v>0</v>
      </c>
      <c r="N16" s="25">
        <f t="shared" si="4"/>
        <v>0</v>
      </c>
      <c r="O16" s="25">
        <f t="shared" si="4"/>
        <v>3</v>
      </c>
      <c r="P16" s="25">
        <f t="shared" si="4"/>
        <v>0</v>
      </c>
      <c r="Q16" s="47">
        <f>SUMIF('Daily Report'!$AE$7:$AE$263,'Cumulative Table'!$X16,'Daily Report'!$M$7:$M$263)</f>
        <v>0</v>
      </c>
      <c r="R16" s="25">
        <f t="shared" si="4"/>
        <v>5</v>
      </c>
      <c r="S16" s="25">
        <f t="shared" si="4"/>
        <v>79</v>
      </c>
      <c r="T16" s="25">
        <f t="shared" si="4"/>
        <v>30</v>
      </c>
      <c r="U16" s="25">
        <f t="shared" si="4"/>
        <v>0</v>
      </c>
      <c r="V16" s="25">
        <f t="shared" si="4"/>
        <v>0</v>
      </c>
      <c r="W16" s="36">
        <f t="shared" si="1"/>
        <v>0.12431941923774954</v>
      </c>
      <c r="X16" s="18"/>
    </row>
    <row r="17" spans="1:35">
      <c r="A17" s="274" t="s">
        <v>115</v>
      </c>
      <c r="B17" s="275"/>
      <c r="C17" s="51" t="s">
        <v>116</v>
      </c>
      <c r="D17" s="253" t="s">
        <v>117</v>
      </c>
      <c r="E17" s="253"/>
      <c r="F17" s="253"/>
      <c r="G17" s="254"/>
      <c r="H17" s="51" t="s">
        <v>118</v>
      </c>
      <c r="I17" s="278" t="s">
        <v>119</v>
      </c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79"/>
      <c r="W17" s="280"/>
      <c r="X17" s="18"/>
    </row>
    <row r="18" spans="1:35">
      <c r="A18" s="249"/>
      <c r="B18" s="276"/>
      <c r="C18" s="52" t="s">
        <v>120</v>
      </c>
      <c r="D18" s="258" t="s">
        <v>121</v>
      </c>
      <c r="E18" s="258"/>
      <c r="F18" s="258"/>
      <c r="G18" s="259"/>
      <c r="H18" s="53" t="s">
        <v>122</v>
      </c>
      <c r="I18" s="281" t="s">
        <v>123</v>
      </c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3"/>
      <c r="X18" s="18"/>
    </row>
    <row r="19" spans="1:35" ht="15.75" thickBot="1">
      <c r="A19" s="249"/>
      <c r="B19" s="276"/>
      <c r="C19" s="53" t="s">
        <v>124</v>
      </c>
      <c r="D19" s="284" t="s">
        <v>125</v>
      </c>
      <c r="E19" s="284"/>
      <c r="F19" s="284"/>
      <c r="G19" s="285"/>
      <c r="H19" s="53" t="s">
        <v>126</v>
      </c>
      <c r="I19" s="286" t="s">
        <v>127</v>
      </c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8"/>
      <c r="X19" s="18"/>
      <c r="AB19" s="54"/>
    </row>
    <row r="20" spans="1:35" ht="15.75" thickBot="1">
      <c r="A20" s="251"/>
      <c r="B20" s="277"/>
      <c r="C20" s="55" t="s">
        <v>128</v>
      </c>
      <c r="D20" s="56"/>
      <c r="E20" s="56"/>
      <c r="F20" s="56"/>
      <c r="G20" s="56"/>
      <c r="H20" s="56"/>
      <c r="I20" s="57"/>
      <c r="J20" s="57"/>
      <c r="K20" s="57"/>
      <c r="L20" s="57"/>
      <c r="M20" s="57"/>
      <c r="N20" s="57"/>
      <c r="W20" s="34"/>
      <c r="X20" s="18"/>
    </row>
    <row r="21" spans="1:35">
      <c r="A21" s="247" t="s">
        <v>129</v>
      </c>
      <c r="B21" s="248"/>
      <c r="C21" s="27" t="s">
        <v>203</v>
      </c>
      <c r="D21" s="253" t="s">
        <v>130</v>
      </c>
      <c r="E21" s="253"/>
      <c r="F21" s="253"/>
      <c r="G21" s="254"/>
      <c r="H21" s="27" t="s">
        <v>131</v>
      </c>
      <c r="I21" s="255" t="s">
        <v>132</v>
      </c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7"/>
      <c r="X21" s="18"/>
    </row>
    <row r="22" spans="1:35">
      <c r="A22" s="249"/>
      <c r="B22" s="250"/>
      <c r="C22" s="28" t="s">
        <v>133</v>
      </c>
      <c r="D22" s="258" t="s">
        <v>134</v>
      </c>
      <c r="E22" s="258"/>
      <c r="F22" s="258"/>
      <c r="G22" s="259"/>
      <c r="H22" s="29" t="s">
        <v>135</v>
      </c>
      <c r="I22" s="255" t="s">
        <v>136</v>
      </c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7"/>
      <c r="X22" s="18"/>
    </row>
    <row r="23" spans="1:35">
      <c r="A23" s="249"/>
      <c r="B23" s="250"/>
      <c r="C23" s="29" t="s">
        <v>204</v>
      </c>
      <c r="D23" s="260" t="s">
        <v>137</v>
      </c>
      <c r="E23" s="260"/>
      <c r="F23" s="260"/>
      <c r="G23" s="261"/>
      <c r="H23" s="29" t="s">
        <v>138</v>
      </c>
      <c r="I23" s="255" t="s">
        <v>139</v>
      </c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7"/>
      <c r="X23" s="18"/>
    </row>
    <row r="24" spans="1:35" ht="15.75" thickBot="1">
      <c r="A24" s="251"/>
      <c r="B24" s="252"/>
      <c r="C24" s="262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18" t="str">
        <f>A24&amp;D24&amp;E24</f>
        <v/>
      </c>
    </row>
    <row r="25" spans="1:35" ht="18" customHeight="1" thickBot="1">
      <c r="A25" s="7" t="s">
        <v>189</v>
      </c>
      <c r="B25" s="8" t="s">
        <v>95</v>
      </c>
      <c r="C25" s="9" t="s">
        <v>190</v>
      </c>
      <c r="D25" s="10" t="s">
        <v>191</v>
      </c>
      <c r="E25" s="10" t="s">
        <v>192</v>
      </c>
      <c r="F25" s="10" t="s">
        <v>193</v>
      </c>
      <c r="G25" s="10" t="s">
        <v>194</v>
      </c>
      <c r="H25" s="10" t="s">
        <v>195</v>
      </c>
      <c r="I25" s="10" t="s">
        <v>196</v>
      </c>
      <c r="J25" s="10" t="s">
        <v>197</v>
      </c>
      <c r="K25" s="264" t="s">
        <v>198</v>
      </c>
      <c r="L25" s="265"/>
      <c r="M25" s="265"/>
      <c r="N25" s="266"/>
      <c r="O25" s="30" t="s">
        <v>140</v>
      </c>
      <c r="P25" s="30" t="s">
        <v>141</v>
      </c>
      <c r="Q25" s="31" t="s">
        <v>16</v>
      </c>
      <c r="R25" s="30" t="s">
        <v>142</v>
      </c>
      <c r="S25" s="30" t="s">
        <v>90</v>
      </c>
      <c r="T25" s="30" t="s">
        <v>18</v>
      </c>
      <c r="U25" s="30" t="s">
        <v>19</v>
      </c>
      <c r="V25" s="32" t="s">
        <v>20</v>
      </c>
      <c r="W25" s="33" t="s">
        <v>21</v>
      </c>
    </row>
    <row r="26" spans="1:35" ht="18" customHeight="1" thickBot="1">
      <c r="A26" s="7" t="s">
        <v>96</v>
      </c>
      <c r="B26" s="8" t="s">
        <v>97</v>
      </c>
      <c r="C26" s="9" t="s">
        <v>98</v>
      </c>
      <c r="D26" s="10" t="s">
        <v>99</v>
      </c>
      <c r="E26" s="10" t="s">
        <v>100</v>
      </c>
      <c r="F26" s="10" t="s">
        <v>101</v>
      </c>
      <c r="G26" s="10" t="s">
        <v>102</v>
      </c>
      <c r="H26" s="10" t="s">
        <v>103</v>
      </c>
      <c r="I26" s="10" t="s">
        <v>104</v>
      </c>
      <c r="J26" s="10" t="s">
        <v>104</v>
      </c>
      <c r="K26" s="264" t="s">
        <v>105</v>
      </c>
      <c r="L26" s="265"/>
      <c r="M26" s="265"/>
      <c r="N26" s="266"/>
      <c r="O26" s="30" t="s">
        <v>143</v>
      </c>
      <c r="P26" s="30" t="s">
        <v>144</v>
      </c>
      <c r="Q26" s="31" t="s">
        <v>145</v>
      </c>
      <c r="R26" s="30" t="s">
        <v>146</v>
      </c>
      <c r="S26" s="30" t="s">
        <v>147</v>
      </c>
      <c r="T26" s="30" t="s">
        <v>148</v>
      </c>
      <c r="U26" s="30" t="s">
        <v>149</v>
      </c>
      <c r="V26" s="32" t="s">
        <v>49</v>
      </c>
      <c r="W26" s="33" t="s">
        <v>150</v>
      </c>
      <c r="Y26" s="293" t="s">
        <v>183</v>
      </c>
      <c r="Z26" s="293"/>
      <c r="AA26" s="293"/>
      <c r="AB26" s="293"/>
      <c r="AC26" s="293"/>
      <c r="AD26" s="293"/>
      <c r="AE26" s="293"/>
      <c r="AF26" s="293" t="s">
        <v>205</v>
      </c>
      <c r="AG26" s="293"/>
      <c r="AH26" s="293"/>
      <c r="AI26" s="293"/>
    </row>
    <row r="27" spans="1:35" ht="18" customHeight="1" thickBot="1">
      <c r="A27" s="7" t="s">
        <v>106</v>
      </c>
      <c r="B27" s="8" t="s">
        <v>9</v>
      </c>
      <c r="C27" s="9" t="s">
        <v>107</v>
      </c>
      <c r="D27" s="10" t="s">
        <v>108</v>
      </c>
      <c r="E27" s="10" t="s">
        <v>100</v>
      </c>
      <c r="F27" s="10" t="s">
        <v>109</v>
      </c>
      <c r="G27" s="10" t="s">
        <v>199</v>
      </c>
      <c r="H27" s="10" t="s">
        <v>200</v>
      </c>
      <c r="I27" s="11" t="s">
        <v>201</v>
      </c>
      <c r="J27" s="11" t="s">
        <v>202</v>
      </c>
      <c r="K27" s="12" t="s">
        <v>110</v>
      </c>
      <c r="L27" s="10" t="s">
        <v>111</v>
      </c>
      <c r="M27" s="10" t="s">
        <v>112</v>
      </c>
      <c r="N27" s="13" t="s">
        <v>113</v>
      </c>
      <c r="O27" s="43" t="s">
        <v>151</v>
      </c>
      <c r="P27" s="43" t="s">
        <v>152</v>
      </c>
      <c r="Q27" s="43" t="s">
        <v>153</v>
      </c>
      <c r="R27" s="43" t="s">
        <v>154</v>
      </c>
      <c r="S27" s="43" t="s">
        <v>155</v>
      </c>
      <c r="T27" s="43" t="s">
        <v>156</v>
      </c>
      <c r="U27" s="43" t="s">
        <v>157</v>
      </c>
      <c r="V27" s="44" t="s">
        <v>78</v>
      </c>
      <c r="W27" s="43" t="s">
        <v>158</v>
      </c>
      <c r="Y27" s="293" t="s">
        <v>184</v>
      </c>
      <c r="Z27" s="293"/>
      <c r="AA27" s="293" t="s">
        <v>185</v>
      </c>
      <c r="AB27" s="293"/>
      <c r="AC27" s="293" t="s">
        <v>186</v>
      </c>
      <c r="AD27" s="293"/>
      <c r="AE27" s="216" t="s">
        <v>187</v>
      </c>
      <c r="AF27" s="215" t="s">
        <v>206</v>
      </c>
      <c r="AG27" s="215" t="s">
        <v>207</v>
      </c>
      <c r="AH27" s="216" t="s">
        <v>214</v>
      </c>
      <c r="AI27" s="216" t="s">
        <v>213</v>
      </c>
    </row>
    <row r="28" spans="1:35" ht="15.75" thickBot="1">
      <c r="A28" s="267" t="s">
        <v>216</v>
      </c>
      <c r="B28" s="269" t="str">
        <f>VLOOKUP($A$7,'Daily Report'!$C$7:$E$263,2,FALSE)</f>
        <v>GUA</v>
      </c>
      <c r="C28" s="269" t="str">
        <f>VLOOKUP($A$7,'Daily Report'!$C$7:$E$263,3,FALSE)</f>
        <v>SHIRT</v>
      </c>
      <c r="D28" s="45" t="s">
        <v>161</v>
      </c>
      <c r="E28" s="14" t="s">
        <v>174</v>
      </c>
      <c r="F28" s="15" t="e">
        <f>SUMIF('Dữ Liệu'!#REF!,'Cumulative Table'!$X7,'Dữ Liệu'!H7:H134)</f>
        <v>#REF!</v>
      </c>
      <c r="G28" s="14">
        <f ca="1">SUMIF('Daily Report'!$AD$7:$AD$263,'Cumulative Table'!$X$7:$X$201&amp;"KIEM",'Daily Report'!$H$7:$H$199)</f>
        <v>0</v>
      </c>
      <c r="H28" s="14">
        <f>SUMIF('Daily Report'!$AD$7:$AD$263,'Cumulative Table'!$X$7:$X$201&amp;"TAIKIEM",'Daily Report'!$H$7:$H$263)</f>
        <v>0</v>
      </c>
      <c r="I28" s="14">
        <f>SUMIF('Daily Report'!$AE$7:$AE$263,'Cumulative Table'!$X$7:$X$201,'Daily Report'!$I$7:$I$263)</f>
        <v>0</v>
      </c>
      <c r="J28" s="14">
        <f>SUMIF('Daily Report'!AE27:AE283,'Cumulative Table'!X28:X221,'Daily Report'!R27:R283)</f>
        <v>0</v>
      </c>
      <c r="K28" s="16"/>
      <c r="L28" s="14"/>
      <c r="M28" s="14"/>
      <c r="N28" s="17">
        <f t="shared" ref="N28:N35" si="5">SUM(K28:M28)</f>
        <v>0</v>
      </c>
      <c r="O28" s="46">
        <f>SUMIF('Daily Report'!$AE$7:$AE$199,'Cumulative Table'!$X$7:$X$201,'Daily Report'!$K$7:$K$199)</f>
        <v>0</v>
      </c>
      <c r="P28" s="47">
        <f>SUMIF('Daily Report'!$AE$7:$AE$263,'Cumulative Table'!X$7:$X$201,'Daily Report'!$L$7:$L$263)</f>
        <v>0</v>
      </c>
      <c r="Q28" s="47">
        <f>SUMIF('Daily Report'!$AE$7:$AE$263,'Cumulative Table'!$X$7:$X$201,'Daily Report'!$M$7:$M$263)</f>
        <v>0</v>
      </c>
      <c r="R28" s="47">
        <f>SUMIF('Daily Report'!$AE$7:$AE$263,'Cumulative Table'!$X$7:$X$201,'Daily Report'!$N$7:$N$263)</f>
        <v>0</v>
      </c>
      <c r="S28" s="47">
        <f>SUMIF('Daily Report'!$AE$7:$AE$263,'Cumulative Table'!$X$7:$X$201,'Daily Report'!$O$7:$O$263)</f>
        <v>0</v>
      </c>
      <c r="T28" s="47">
        <f>SUMIF('Daily Report'!$AE$7:$AE$263,'Cumulative Table'!$X$8:$X$201,'Daily Report'!$P$7:$P$263)</f>
        <v>0</v>
      </c>
      <c r="U28" s="47">
        <f>SUMIF('Daily Report'!$AE$7:$AE$263,'Cumulative Table'!$X$7:$X$201,'Daily Report'!$Q$7:$Q$263)</f>
        <v>0</v>
      </c>
      <c r="V28" s="47"/>
      <c r="W28" s="48" t="e">
        <f t="shared" ref="W28:W36" ca="1" si="6">H28/G28</f>
        <v>#DIV/0!</v>
      </c>
      <c r="X28" s="18" t="str">
        <f t="shared" ref="X28:X35" si="7">$A$28&amp;D28&amp;E28</f>
        <v>BR9125WHSS</v>
      </c>
      <c r="Y28" s="294">
        <v>46095</v>
      </c>
      <c r="Z28" s="224">
        <f>SUMIFS('Daily Report'!$H$7:$H$263, 'Daily Report'!$AD$7:$AD$263, $X28&amp;"KIEM", 'Daily Report'!$A$7:$A$263, $Y$28)</f>
        <v>0</v>
      </c>
      <c r="AA28" s="294">
        <v>46096</v>
      </c>
      <c r="AB28" s="224">
        <f>SUMIFS('Daily Report'!$H$7:$H$200,'Daily Report'!$AD$7:$AD$200,'Cumulative Table'!$X28&amp;"KIEM",'Daily Report'!$A$7:$A$200,'Cumulative Table'!$AA$28)</f>
        <v>0</v>
      </c>
      <c r="AC28" s="294">
        <v>46097</v>
      </c>
      <c r="AD28" s="224">
        <f>SUMIFS('Daily Report'!$H$7:$H$200,'Daily Report'!$AD$7:$AD$200,'Cumulative Table'!$X28&amp;"KIEM",'Daily Report'!$A$7:$A$200,'Cumulative Table'!$AC$28)</f>
        <v>0</v>
      </c>
      <c r="AE28" s="224">
        <f>SUMIFS('Daily Report'!$H$7:$H$200,'Daily Report'!$AD$7:$AD$200,'Cumulative Table'!$X28&amp;"KIEM",'Daily Report'!$A$7:$A$200,"&gt;="&amp;'Cumulative Table'!$Y$28,'Daily Report'!$A$7:$A$200,"&lt;="&amp;'Cumulative Table'!$AC$28)</f>
        <v>0</v>
      </c>
      <c r="AF28" s="297">
        <v>46096</v>
      </c>
      <c r="AG28" s="297">
        <v>46097</v>
      </c>
      <c r="AH28" s="225">
        <f>SUMIFS('Daily Report'!$H$7:$H$200,'Daily Report'!$AD$7:$AD$200,'Cumulative Table'!$X28&amp;"KIEM",'Daily Report'!$A$7:$A$200,"&gt;="&amp;'Cumulative Table'!$AF$28,'Daily Report'!$A$7:$A$200,"&lt;="&amp;'Cumulative Table'!$AG$28)</f>
        <v>0</v>
      </c>
      <c r="AI28" s="225">
        <f>SUMIFS('Daily Report'!$H$7:$H$200,'Daily Report'!$AD$7:$AD$200,'Cumulative Table'!$X28&amp;"TAIKIEM",'Daily Report'!$A$7:$A$200,"&gt;="&amp;'Cumulative Table'!$AF$28,'Daily Report'!$A$7:$A$200,"&lt;="&amp;'Cumulative Table'!$AG$28)</f>
        <v>0</v>
      </c>
    </row>
    <row r="29" spans="1:35" ht="15.75" thickBot="1">
      <c r="A29" s="268"/>
      <c r="B29" s="270"/>
      <c r="C29" s="270"/>
      <c r="D29" s="45" t="s">
        <v>161</v>
      </c>
      <c r="E29" s="19" t="s">
        <v>169</v>
      </c>
      <c r="F29" s="15" t="e">
        <f>SUMIF('Dữ Liệu'!#REF!,'Cumulative Table'!$X8,'Dữ Liệu'!H8:H135)</f>
        <v>#REF!</v>
      </c>
      <c r="G29" s="14">
        <f ca="1">SUMIF('Daily Report'!$AD$7:$AD$263,'Cumulative Table'!$X$7:$X$201&amp;"KIEM",'Daily Report'!$H$7:$H$199)</f>
        <v>133</v>
      </c>
      <c r="H29" s="14">
        <f>SUMIF('Daily Report'!$AD$7:$AD$263,'Cumulative Table'!$X$7:$X$201&amp;"TAIKIEM",'Daily Report'!$H$7:$H$263)</f>
        <v>18</v>
      </c>
      <c r="I29" s="14">
        <f>SUMIF('Daily Report'!$AE$7:$AE$263,'Cumulative Table'!$X$7:$X$201,'Daily Report'!$I$7:$I$263)</f>
        <v>133</v>
      </c>
      <c r="J29" s="14">
        <f>SUMIF('Daily Report'!AE28:AE284,'Cumulative Table'!X29:X222,'Daily Report'!R28:R284)</f>
        <v>0</v>
      </c>
      <c r="K29" s="21"/>
      <c r="L29" s="19"/>
      <c r="M29" s="19"/>
      <c r="N29" s="22">
        <f t="shared" si="5"/>
        <v>0</v>
      </c>
      <c r="O29" s="46">
        <f>SUMIF('Daily Report'!$AE$7:$AE$199,'Cumulative Table'!$X$7:$X$201,'Daily Report'!$K$7:$K$199)</f>
        <v>0</v>
      </c>
      <c r="P29" s="47">
        <f>SUMIF('Daily Report'!$AE$7:$AE$263,'Cumulative Table'!X$7:$X$201,'Daily Report'!$L$7:$L$263)</f>
        <v>0</v>
      </c>
      <c r="Q29" s="47">
        <f>SUMIF('Daily Report'!$AE$7:$AE$263,'Cumulative Table'!$X$7:$X$201,'Daily Report'!$M$7:$M$263)</f>
        <v>2</v>
      </c>
      <c r="R29" s="47">
        <f>SUMIF('Daily Report'!$AE$7:$AE$263,'Cumulative Table'!$X$7:$X$201,'Daily Report'!$N$7:$N$263)</f>
        <v>0</v>
      </c>
      <c r="S29" s="47">
        <f>SUMIF('Daily Report'!$AE$7:$AE$263,'Cumulative Table'!$X$7:$X$201,'Daily Report'!$O$7:$O$263)</f>
        <v>12</v>
      </c>
      <c r="T29" s="47">
        <f>SUMIF('Daily Report'!$AE$7:$AE$263,'Cumulative Table'!$X$8:$X$201,'Daily Report'!$P$7:$P$263)</f>
        <v>4</v>
      </c>
      <c r="U29" s="47">
        <f>SUMIF('Daily Report'!$AE$7:$AE$263,'Cumulative Table'!$X$7:$X$201,'Daily Report'!$Q$7:$Q$263)</f>
        <v>0</v>
      </c>
      <c r="V29" s="49"/>
      <c r="W29" s="50">
        <f t="shared" ca="1" si="6"/>
        <v>0.13533834586466165</v>
      </c>
      <c r="X29" s="18" t="str">
        <f t="shared" si="7"/>
        <v>BR9125WHS</v>
      </c>
      <c r="Y29" s="295"/>
      <c r="Z29" s="224">
        <f>SUMIFS('Daily Report'!$H$7:$H$263, 'Daily Report'!$AD$7:$AD$263, $X29&amp;"KIEM", 'Daily Report'!$A$7:$A$263, $Y$28)</f>
        <v>0</v>
      </c>
      <c r="AA29" s="295"/>
      <c r="AB29" s="224">
        <f>SUMIFS('Daily Report'!$H$7:$H$200,'Daily Report'!$AD$7:$AD$200,'Cumulative Table'!$X29&amp;"KIEM",'Daily Report'!$A$7:$A$200,'Cumulative Table'!$AA$28)</f>
        <v>0</v>
      </c>
      <c r="AC29" s="295"/>
      <c r="AD29" s="224">
        <f>SUMIFS('Daily Report'!$H$7:$H$200,'Daily Report'!$AD$7:$AD$200,'Cumulative Table'!$X29&amp;"KIEM",'Daily Report'!$A$7:$A$200,'Cumulative Table'!$AC$28)</f>
        <v>133</v>
      </c>
      <c r="AE29" s="224">
        <f>SUMIFS('Daily Report'!$H$7:$H$200,'Daily Report'!$AD$7:$AD$200,'Cumulative Table'!$X29&amp;"KIEM",'Daily Report'!$A$7:$A$200,"&gt;="&amp;'Cumulative Table'!$Y$28,'Daily Report'!$A$7:$A$200,"&lt;="&amp;'Cumulative Table'!$AC$28)</f>
        <v>133</v>
      </c>
      <c r="AF29" s="298"/>
      <c r="AG29" s="298"/>
      <c r="AH29" s="225">
        <f>SUMIFS('Daily Report'!$H$7:$H$200,'Daily Report'!$AD$7:$AD$200,'Cumulative Table'!$X29&amp;"KIEM",'Daily Report'!$A$7:$A$200,"&gt;="&amp;'Cumulative Table'!$AF$28,'Daily Report'!$A$7:$A$200,"&lt;="&amp;'Cumulative Table'!$AG$28)</f>
        <v>133</v>
      </c>
      <c r="AI29" s="225">
        <f>SUMIFS('Daily Report'!$H$7:$H$200,'Daily Report'!$AD$7:$AD$200,'Cumulative Table'!$X29&amp;"TAIKIEM",'Daily Report'!$A$7:$A$200,"&gt;="&amp;'Cumulative Table'!$AF$28,'Daily Report'!$A$7:$A$200,"&lt;="&amp;'Cumulative Table'!$AG$28)</f>
        <v>18</v>
      </c>
    </row>
    <row r="30" spans="1:35" ht="15.75" thickBot="1">
      <c r="A30" s="268"/>
      <c r="B30" s="270"/>
      <c r="C30" s="270"/>
      <c r="D30" s="45" t="s">
        <v>161</v>
      </c>
      <c r="E30" s="19" t="s">
        <v>166</v>
      </c>
      <c r="F30" s="15" t="e">
        <f>SUMIF('Dữ Liệu'!#REF!,'Cumulative Table'!$X9,'Dữ Liệu'!H8:H136)</f>
        <v>#REF!</v>
      </c>
      <c r="G30" s="14">
        <f ca="1">SUMIF('Daily Report'!$AD$7:$AD$263,'Cumulative Table'!$X$7:$X$201&amp;"KIEM",'Daily Report'!$H$7:$H$199)</f>
        <v>603</v>
      </c>
      <c r="H30" s="14">
        <f>SUMIF('Daily Report'!$AD$7:$AD$263,'Cumulative Table'!$X$7:$X$201&amp;"TAIKIEM",'Daily Report'!$H$7:$H$263)</f>
        <v>76</v>
      </c>
      <c r="I30" s="14">
        <f>SUMIF('Daily Report'!$AE$7:$AE$263,'Cumulative Table'!$X$7:$X$201,'Daily Report'!$I$7:$I$263)</f>
        <v>603</v>
      </c>
      <c r="J30" s="14">
        <f>SUMIF('Daily Report'!AE29:AE285,'Cumulative Table'!X30:X223,'Daily Report'!R29:R285)</f>
        <v>0</v>
      </c>
      <c r="K30" s="21"/>
      <c r="L30" s="19"/>
      <c r="M30" s="19"/>
      <c r="N30" s="22">
        <f t="shared" si="5"/>
        <v>0</v>
      </c>
      <c r="O30" s="46">
        <f>SUMIF('Daily Report'!$AE$7:$AE$199,'Cumulative Table'!$X$7:$X$201,'Daily Report'!$K$7:$K$199)</f>
        <v>2</v>
      </c>
      <c r="P30" s="47">
        <f>SUMIF('Daily Report'!$AE$7:$AE$263,'Cumulative Table'!X$7:$X$201,'Daily Report'!$L$7:$L$263)</f>
        <v>0</v>
      </c>
      <c r="Q30" s="47">
        <f>SUMIF('Daily Report'!$AE$7:$AE$263,'Cumulative Table'!$X$7:$X$201,'Daily Report'!$M$7:$M$263)</f>
        <v>11</v>
      </c>
      <c r="R30" s="47">
        <f>SUMIF('Daily Report'!$AE$7:$AE$263,'Cumulative Table'!$X$7:$X$201,'Daily Report'!$N$7:$N$263)</f>
        <v>5</v>
      </c>
      <c r="S30" s="47">
        <f>SUMIF('Daily Report'!$AE$7:$AE$263,'Cumulative Table'!$X$7:$X$201,'Daily Report'!$O$7:$O$263)</f>
        <v>42</v>
      </c>
      <c r="T30" s="47">
        <f>SUMIF('Daily Report'!$AE$7:$AE$263,'Cumulative Table'!$X$8:$X$201,'Daily Report'!$P$7:$P$263)</f>
        <v>16</v>
      </c>
      <c r="U30" s="47">
        <f>SUMIF('Daily Report'!$AE$7:$AE$263,'Cumulative Table'!$X$7:$X$201,'Daily Report'!$Q$7:$Q$263)</f>
        <v>0</v>
      </c>
      <c r="V30" s="49"/>
      <c r="W30" s="50">
        <f t="shared" ca="1" si="6"/>
        <v>0.12603648424543948</v>
      </c>
      <c r="X30" s="18" t="str">
        <f t="shared" si="7"/>
        <v>BR9125WHM</v>
      </c>
      <c r="Y30" s="295"/>
      <c r="Z30" s="224">
        <f>SUMIFS('Daily Report'!$H$7:$H$263, 'Daily Report'!$AD$7:$AD$263, $X30&amp;"KIEM", 'Daily Report'!$A$7:$A$263, $Y$28)</f>
        <v>0</v>
      </c>
      <c r="AA30" s="295"/>
      <c r="AB30" s="224">
        <f>SUMIFS('Daily Report'!$H$7:$H$200,'Daily Report'!$AD$7:$AD$200,'Cumulative Table'!$X30&amp;"KIEM",'Daily Report'!$A$7:$A$200,'Cumulative Table'!$AA$28)</f>
        <v>0</v>
      </c>
      <c r="AC30" s="295"/>
      <c r="AD30" s="224">
        <f>SUMIFS('Daily Report'!$H$7:$H$200,'Daily Report'!$AD$7:$AD$200,'Cumulative Table'!$X30&amp;"KIEM",'Daily Report'!$A$7:$A$200,'Cumulative Table'!$AC$28)</f>
        <v>184</v>
      </c>
      <c r="AE30" s="224">
        <f>SUMIFS('Daily Report'!$H$7:$H$200,'Daily Report'!$AD$7:$AD$200,'Cumulative Table'!$X30&amp;"KIEM",'Daily Report'!$A$7:$A$200,"&gt;="&amp;'Cumulative Table'!$Y$28,'Daily Report'!$A$7:$A$200,"&lt;="&amp;'Cumulative Table'!$AC$28)</f>
        <v>184</v>
      </c>
      <c r="AF30" s="298"/>
      <c r="AG30" s="298"/>
      <c r="AH30" s="225">
        <f>SUMIFS('Daily Report'!$H$7:$H$200,'Daily Report'!$AD$7:$AD$200,'Cumulative Table'!$X30&amp;"KIEM",'Daily Report'!$A$7:$A$200,"&gt;="&amp;'Cumulative Table'!$AF$28,'Daily Report'!$A$7:$A$200,"&lt;="&amp;'Cumulative Table'!$AG$28)</f>
        <v>184</v>
      </c>
      <c r="AI30" s="225">
        <f>SUMIFS('Daily Report'!$H$7:$H$200,'Daily Report'!$AD$7:$AD$200,'Cumulative Table'!$X30&amp;"TAIKIEM",'Daily Report'!$A$7:$A$200,"&gt;="&amp;'Cumulative Table'!$AF$28,'Daily Report'!$A$7:$A$200,"&lt;="&amp;'Cumulative Table'!$AG$28)</f>
        <v>24</v>
      </c>
    </row>
    <row r="31" spans="1:35" ht="15.75" thickBot="1">
      <c r="A31" s="268"/>
      <c r="B31" s="270"/>
      <c r="C31" s="270"/>
      <c r="D31" s="45" t="s">
        <v>161</v>
      </c>
      <c r="E31" s="19" t="s">
        <v>162</v>
      </c>
      <c r="F31" s="15" t="e">
        <f>SUMIF('Dữ Liệu'!#REF!,'Cumulative Table'!$X10,'Dữ Liệu'!H8:H137)</f>
        <v>#REF!</v>
      </c>
      <c r="G31" s="14">
        <f ca="1">SUMIF('Daily Report'!$AD$7:$AD$263,'Cumulative Table'!$X$7:$X$201&amp;"KIEM",'Daily Report'!$H$7:$H$199)</f>
        <v>188</v>
      </c>
      <c r="H31" s="14">
        <f>SUMIF('Daily Report'!$AD$7:$AD$263,'Cumulative Table'!$X$7:$X$201&amp;"TAIKIEM",'Daily Report'!$H$7:$H$263)</f>
        <v>25</v>
      </c>
      <c r="I31" s="14">
        <f>SUMIF('Daily Report'!$AE$7:$AE$263,'Cumulative Table'!$X$7:$X$201,'Daily Report'!$I$7:$I$263)</f>
        <v>188</v>
      </c>
      <c r="J31" s="14">
        <f>SUMIF('Daily Report'!AE30:AE286,'Cumulative Table'!X31:X224,'Daily Report'!R30:R286)</f>
        <v>0</v>
      </c>
      <c r="K31" s="21"/>
      <c r="L31" s="19"/>
      <c r="M31" s="19"/>
      <c r="N31" s="22">
        <f t="shared" si="5"/>
        <v>0</v>
      </c>
      <c r="O31" s="46">
        <f>SUMIF('Daily Report'!$AE$7:$AE$199,'Cumulative Table'!$X$7:$X$201,'Daily Report'!$K$7:$K$199)</f>
        <v>1</v>
      </c>
      <c r="P31" s="47">
        <f>SUMIF('Daily Report'!$AE$7:$AE$263,'Cumulative Table'!X$7:$X$201,'Daily Report'!$L$7:$L$263)</f>
        <v>0</v>
      </c>
      <c r="Q31" s="47">
        <f>SUMIF('Daily Report'!$AE$7:$AE$263,'Cumulative Table'!$X$7:$X$201,'Daily Report'!$M$7:$M$263)</f>
        <v>3</v>
      </c>
      <c r="R31" s="47">
        <f>SUMIF('Daily Report'!$AE$7:$AE$263,'Cumulative Table'!$X$7:$X$201,'Daily Report'!$N$7:$N$263)</f>
        <v>0</v>
      </c>
      <c r="S31" s="47">
        <f>SUMIF('Daily Report'!$AE$7:$AE$263,'Cumulative Table'!$X$7:$X$201,'Daily Report'!$O$7:$O$263)</f>
        <v>14</v>
      </c>
      <c r="T31" s="47">
        <f>SUMIF('Daily Report'!$AE$7:$AE$263,'Cumulative Table'!$X$8:$X$201,'Daily Report'!$P$7:$P$263)</f>
        <v>7</v>
      </c>
      <c r="U31" s="47">
        <f>SUMIF('Daily Report'!$AE$7:$AE$263,'Cumulative Table'!$X$7:$X$201,'Daily Report'!$Q$7:$Q$263)</f>
        <v>0</v>
      </c>
      <c r="V31" s="49"/>
      <c r="W31" s="50">
        <f t="shared" ca="1" si="6"/>
        <v>0.13297872340425532</v>
      </c>
      <c r="X31" s="18" t="str">
        <f t="shared" si="7"/>
        <v>BR9125WHL</v>
      </c>
      <c r="Y31" s="295"/>
      <c r="Z31" s="224">
        <f>SUMIFS('Daily Report'!$H$7:$H$263, 'Daily Report'!$AD$7:$AD$263, $X31&amp;"KIEM", 'Daily Report'!$A$7:$A$263, $Y$28)</f>
        <v>188</v>
      </c>
      <c r="AA31" s="295"/>
      <c r="AB31" s="224">
        <f>SUMIFS('Daily Report'!$H$7:$H$200,'Daily Report'!$AD$7:$AD$200,'Cumulative Table'!$X31&amp;"KIEM",'Daily Report'!$A$7:$A$200,'Cumulative Table'!$AA$28)</f>
        <v>0</v>
      </c>
      <c r="AC31" s="295"/>
      <c r="AD31" s="224">
        <f>SUMIFS('Daily Report'!$H$7:$H$200,'Daily Report'!$AD$7:$AD$200,'Cumulative Table'!$X31&amp;"KIEM",'Daily Report'!$A$7:$A$200,'Cumulative Table'!$AC$28)</f>
        <v>0</v>
      </c>
      <c r="AE31" s="224">
        <f>SUMIFS('Daily Report'!$H$7:$H$200,'Daily Report'!$AD$7:$AD$200,'Cumulative Table'!$X31&amp;"KIEM",'Daily Report'!$A$7:$A$200,"&gt;="&amp;'Cumulative Table'!$Y$28,'Daily Report'!$A$7:$A$200,"&lt;="&amp;'Cumulative Table'!$AC$28)</f>
        <v>188</v>
      </c>
      <c r="AF31" s="298"/>
      <c r="AG31" s="298"/>
      <c r="AH31" s="225">
        <f>SUMIFS('Daily Report'!$H$7:$H$200,'Daily Report'!$AD$7:$AD$200,'Cumulative Table'!$X31&amp;"KIEM",'Daily Report'!$A$7:$A$200,"&gt;="&amp;'Cumulative Table'!$AF$28,'Daily Report'!$A$7:$A$200,"&lt;="&amp;'Cumulative Table'!$AG$28)</f>
        <v>0</v>
      </c>
      <c r="AI31" s="225">
        <f>SUMIFS('Daily Report'!$H$7:$H$200,'Daily Report'!$AD$7:$AD$200,'Cumulative Table'!$X31&amp;"TAIKIEM",'Daily Report'!$A$7:$A$200,"&gt;="&amp;'Cumulative Table'!$AF$28,'Daily Report'!$A$7:$A$200,"&lt;="&amp;'Cumulative Table'!$AG$28)</f>
        <v>0</v>
      </c>
    </row>
    <row r="32" spans="1:35" ht="15.75" thickBot="1">
      <c r="A32" s="268"/>
      <c r="B32" s="270"/>
      <c r="C32" s="270"/>
      <c r="D32" s="45" t="s">
        <v>161</v>
      </c>
      <c r="E32" s="19" t="s">
        <v>164</v>
      </c>
      <c r="F32" s="15" t="e">
        <f>SUMIF('Dữ Liệu'!#REF!,'Cumulative Table'!$X11,'Dữ Liệu'!H8:H138)</f>
        <v>#REF!</v>
      </c>
      <c r="G32" s="14">
        <f ca="1">SUMIF('Daily Report'!$AD$7:$AD$263,'Cumulative Table'!$X$7:$X$201&amp;"KIEM",'Daily Report'!$H$7:$H$199)</f>
        <v>128</v>
      </c>
      <c r="H32" s="14">
        <f>SUMIF('Daily Report'!$AD$7:$AD$263,'Cumulative Table'!$X$7:$X$201&amp;"TAIKIEM",'Daily Report'!$H$7:$H$263)</f>
        <v>14</v>
      </c>
      <c r="I32" s="14">
        <f>SUMIF('Daily Report'!$AE$7:$AE$263,'Cumulative Table'!$X$7:$X$201,'Daily Report'!$I$7:$I$263)</f>
        <v>128</v>
      </c>
      <c r="J32" s="14">
        <f>SUMIF('Daily Report'!AE31:AE287,'Cumulative Table'!X32:X225,'Daily Report'!R31:R287)</f>
        <v>0</v>
      </c>
      <c r="K32" s="21"/>
      <c r="L32" s="19"/>
      <c r="M32" s="19"/>
      <c r="N32" s="22">
        <f t="shared" si="5"/>
        <v>0</v>
      </c>
      <c r="O32" s="46">
        <f>SUMIF('Daily Report'!$AE$7:$AE$199,'Cumulative Table'!$X$7:$X$201,'Daily Report'!$K$7:$K$199)</f>
        <v>0</v>
      </c>
      <c r="P32" s="47">
        <f>SUMIF('Daily Report'!$AE$7:$AE$263,'Cumulative Table'!X$7:$X$201,'Daily Report'!$L$7:$L$263)</f>
        <v>0</v>
      </c>
      <c r="Q32" s="47">
        <f>SUMIF('Daily Report'!$AE$7:$AE$263,'Cumulative Table'!$X$7:$X$201,'Daily Report'!$M$7:$M$263)</f>
        <v>3</v>
      </c>
      <c r="R32" s="47">
        <f>SUMIF('Daily Report'!$AE$7:$AE$263,'Cumulative Table'!$X$7:$X$201,'Daily Report'!$N$7:$N$263)</f>
        <v>0</v>
      </c>
      <c r="S32" s="47">
        <f>SUMIF('Daily Report'!$AE$7:$AE$263,'Cumulative Table'!$X$7:$X$201,'Daily Report'!$O$7:$O$263)</f>
        <v>8</v>
      </c>
      <c r="T32" s="47">
        <f>SUMIF('Daily Report'!$AE$7:$AE$263,'Cumulative Table'!$X$8:$X$201,'Daily Report'!$P$7:$P$263)</f>
        <v>3</v>
      </c>
      <c r="U32" s="47">
        <f>SUMIF('Daily Report'!$AE$7:$AE$263,'Cumulative Table'!$X$7:$X$201,'Daily Report'!$Q$7:$Q$263)</f>
        <v>0</v>
      </c>
      <c r="V32" s="49"/>
      <c r="W32" s="50">
        <f t="shared" ca="1" si="6"/>
        <v>0.109375</v>
      </c>
      <c r="X32" s="18" t="str">
        <f t="shared" si="7"/>
        <v>BR9125WHLL</v>
      </c>
      <c r="Y32" s="295"/>
      <c r="Z32" s="224">
        <f>SUMIFS('Daily Report'!$H$7:$H$263, 'Daily Report'!$AD$7:$AD$263, $X32&amp;"KIEM", 'Daily Report'!$A$7:$A$263, $Y$28)</f>
        <v>104</v>
      </c>
      <c r="AA32" s="295"/>
      <c r="AB32" s="224">
        <f>SUMIFS('Daily Report'!$H$7:$H$200,'Daily Report'!$AD$7:$AD$200,'Cumulative Table'!$X32&amp;"KIEM",'Daily Report'!$A$7:$A$200,'Cumulative Table'!$AA$28)</f>
        <v>0</v>
      </c>
      <c r="AC32" s="295"/>
      <c r="AD32" s="224">
        <f>SUMIFS('Daily Report'!$H$7:$H$200,'Daily Report'!$AD$7:$AD$200,'Cumulative Table'!$X32&amp;"KIEM",'Daily Report'!$A$7:$A$200,'Cumulative Table'!$AC$28)</f>
        <v>24</v>
      </c>
      <c r="AE32" s="224">
        <f>SUMIFS('Daily Report'!$H$7:$H$200,'Daily Report'!$AD$7:$AD$200,'Cumulative Table'!$X32&amp;"KIEM",'Daily Report'!$A$7:$A$200,"&gt;="&amp;'Cumulative Table'!$Y$28,'Daily Report'!$A$7:$A$200,"&lt;="&amp;'Cumulative Table'!$AC$28)</f>
        <v>128</v>
      </c>
      <c r="AF32" s="298"/>
      <c r="AG32" s="298"/>
      <c r="AH32" s="225">
        <f>SUMIFS('Daily Report'!$H$7:$H$200,'Daily Report'!$AD$7:$AD$200,'Cumulative Table'!$X32&amp;"KIEM",'Daily Report'!$A$7:$A$200,"&gt;="&amp;'Cumulative Table'!$AF$28,'Daily Report'!$A$7:$A$200,"&lt;="&amp;'Cumulative Table'!$AG$28)</f>
        <v>24</v>
      </c>
      <c r="AI32" s="225">
        <f>SUMIFS('Daily Report'!$H$7:$H$200,'Daily Report'!$AD$7:$AD$200,'Cumulative Table'!$X32&amp;"TAIKIEM",'Daily Report'!$A$7:$A$200,"&gt;="&amp;'Cumulative Table'!$AF$28,'Daily Report'!$A$7:$A$200,"&lt;="&amp;'Cumulative Table'!$AG$28)</f>
        <v>3</v>
      </c>
    </row>
    <row r="33" spans="1:35" ht="15.75" thickBot="1">
      <c r="A33" s="268"/>
      <c r="B33" s="270"/>
      <c r="C33" s="270"/>
      <c r="D33" s="45" t="s">
        <v>161</v>
      </c>
      <c r="E33" s="19" t="s">
        <v>172</v>
      </c>
      <c r="F33" s="15" t="e">
        <f>SUMIF('Dữ Liệu'!#REF!,'Cumulative Table'!$X12,'Dữ Liệu'!H8:H139)</f>
        <v>#REF!</v>
      </c>
      <c r="G33" s="14">
        <f ca="1">SUMIF('Daily Report'!$AD$7:$AD$263,'Cumulative Table'!$X$7:$X$201&amp;"KIEM",'Daily Report'!$H$7:$H$199)</f>
        <v>23</v>
      </c>
      <c r="H33" s="14">
        <f>SUMIF('Daily Report'!$AD$7:$AD$263,'Cumulative Table'!$X$7:$X$201&amp;"TAIKIEM",'Daily Report'!$H$7:$H$263)</f>
        <v>2</v>
      </c>
      <c r="I33" s="14">
        <f>SUMIF('Daily Report'!$AE$7:$AE$263,'Cumulative Table'!$X$7:$X$201,'Daily Report'!$I$7:$I$263)</f>
        <v>23</v>
      </c>
      <c r="J33" s="14">
        <f>SUMIF('Daily Report'!AE32:AE288,'Cumulative Table'!X33:X226,'Daily Report'!R32:R288)</f>
        <v>0</v>
      </c>
      <c r="K33" s="21"/>
      <c r="L33" s="19"/>
      <c r="M33" s="19"/>
      <c r="N33" s="22">
        <f t="shared" si="5"/>
        <v>0</v>
      </c>
      <c r="O33" s="46">
        <f>SUMIF('Daily Report'!$AE$7:$AE$199,'Cumulative Table'!$X$7:$X$201,'Daily Report'!$K$7:$K$199)</f>
        <v>0</v>
      </c>
      <c r="P33" s="47">
        <f>SUMIF('Daily Report'!$AE$7:$AE$263,'Cumulative Table'!X$7:$X$201,'Daily Report'!$L$7:$L$263)</f>
        <v>0</v>
      </c>
      <c r="Q33" s="47">
        <f>SUMIF('Daily Report'!$AE$7:$AE$263,'Cumulative Table'!$X$7:$X$201,'Daily Report'!$M$7:$M$263)</f>
        <v>0</v>
      </c>
      <c r="R33" s="47">
        <f>SUMIF('Daily Report'!$AE$7:$AE$263,'Cumulative Table'!$X$7:$X$201,'Daily Report'!$N$7:$N$263)</f>
        <v>0</v>
      </c>
      <c r="S33" s="47">
        <f>SUMIF('Daily Report'!$AE$7:$AE$263,'Cumulative Table'!$X$7:$X$201,'Daily Report'!$O$7:$O$263)</f>
        <v>2</v>
      </c>
      <c r="T33" s="47">
        <f>SUMIF('Daily Report'!$AE$7:$AE$263,'Cumulative Table'!$X$8:$X$201,'Daily Report'!$P$7:$P$263)</f>
        <v>0</v>
      </c>
      <c r="U33" s="47">
        <f>SUMIF('Daily Report'!$AE$7:$AE$263,'Cumulative Table'!$X$7:$X$201,'Daily Report'!$Q$7:$Q$263)</f>
        <v>0</v>
      </c>
      <c r="V33" s="49"/>
      <c r="W33" s="50">
        <f t="shared" ca="1" si="6"/>
        <v>8.6956521739130432E-2</v>
      </c>
      <c r="X33" s="18" t="str">
        <f t="shared" si="7"/>
        <v>BR9125WHEL</v>
      </c>
      <c r="Y33" s="295"/>
      <c r="Z33" s="224">
        <f>SUMIFS('Daily Report'!$H$7:$H$263, 'Daily Report'!$AD$7:$AD$263, $X33&amp;"KIEM", 'Daily Report'!$A$7:$A$263, $Y$28)</f>
        <v>0</v>
      </c>
      <c r="AA33" s="295"/>
      <c r="AB33" s="224">
        <f>SUMIFS('Daily Report'!$H$7:$H$200,'Daily Report'!$AD$7:$AD$200,'Cumulative Table'!$X33&amp;"KIEM",'Daily Report'!$A$7:$A$200,'Cumulative Table'!$AA$28)</f>
        <v>0</v>
      </c>
      <c r="AC33" s="295"/>
      <c r="AD33" s="224">
        <f>SUMIFS('Daily Report'!$H$7:$H$200,'Daily Report'!$AD$7:$AD$200,'Cumulative Table'!$X33&amp;"KIEM",'Daily Report'!$A$7:$A$200,'Cumulative Table'!$AC$28)</f>
        <v>23</v>
      </c>
      <c r="AE33" s="224">
        <f>SUMIFS('Daily Report'!$H$7:$H$200,'Daily Report'!$AD$7:$AD$200,'Cumulative Table'!$X33&amp;"KIEM",'Daily Report'!$A$7:$A$200,"&gt;="&amp;'Cumulative Table'!$Y$28,'Daily Report'!$A$7:$A$200,"&lt;="&amp;'Cumulative Table'!$AC$28)</f>
        <v>23</v>
      </c>
      <c r="AF33" s="298"/>
      <c r="AG33" s="298"/>
      <c r="AH33" s="225">
        <f>SUMIFS('Daily Report'!$H$7:$H$200,'Daily Report'!$AD$7:$AD$200,'Cumulative Table'!$X33&amp;"KIEM",'Daily Report'!$A$7:$A$200,"&gt;="&amp;'Cumulative Table'!$AF$28,'Daily Report'!$A$7:$A$200,"&lt;="&amp;'Cumulative Table'!$AG$28)</f>
        <v>23</v>
      </c>
      <c r="AI33" s="225">
        <f>SUMIFS('Daily Report'!$H$7:$H$200,'Daily Report'!$AD$7:$AD$200,'Cumulative Table'!$X33&amp;"TAIKIEM",'Daily Report'!$A$7:$A$200,"&gt;="&amp;'Cumulative Table'!$AF$28,'Daily Report'!$A$7:$A$200,"&lt;="&amp;'Cumulative Table'!$AG$28)</f>
        <v>2</v>
      </c>
    </row>
    <row r="34" spans="1:35" ht="15.75" thickBot="1">
      <c r="A34" s="268"/>
      <c r="B34" s="270"/>
      <c r="C34" s="270"/>
      <c r="D34" s="45" t="s">
        <v>161</v>
      </c>
      <c r="E34" s="19" t="s">
        <v>173</v>
      </c>
      <c r="F34" s="15" t="e">
        <f>SUMIF('Dữ Liệu'!#REF!,'Cumulative Table'!$X13,'Dữ Liệu'!H8:H140)</f>
        <v>#REF!</v>
      </c>
      <c r="G34" s="14">
        <f ca="1">SUMIF('Daily Report'!$AD$7:$AD$263,'Cumulative Table'!$X$7:$X$201&amp;"KIEM",'Daily Report'!$H$7:$H$199)</f>
        <v>14</v>
      </c>
      <c r="H34" s="14">
        <f>SUMIF('Daily Report'!$AD$7:$AD$263,'Cumulative Table'!$X$7:$X$201&amp;"TAIKIEM",'Daily Report'!$H$7:$H$263)</f>
        <v>1</v>
      </c>
      <c r="I34" s="14">
        <f>SUMIF('Daily Report'!$AE$7:$AE$263,'Cumulative Table'!$X$7:$X$201,'Daily Report'!$I$7:$I$263)</f>
        <v>14</v>
      </c>
      <c r="J34" s="14">
        <f>SUMIF('Daily Report'!AE33:AE289,'Cumulative Table'!X34:X227,'Daily Report'!R33:R289)</f>
        <v>0</v>
      </c>
      <c r="K34" s="21"/>
      <c r="L34" s="19"/>
      <c r="M34" s="19"/>
      <c r="N34" s="22">
        <f t="shared" si="5"/>
        <v>0</v>
      </c>
      <c r="O34" s="46">
        <f>SUMIF('Daily Report'!$AE$7:$AE$199,'Cumulative Table'!$X$7:$X$201,'Daily Report'!$K$7:$K$199)</f>
        <v>0</v>
      </c>
      <c r="P34" s="47">
        <f>SUMIF('Daily Report'!$AE$7:$AE$263,'Cumulative Table'!X$7:$X$201,'Daily Report'!$L$7:$L$263)</f>
        <v>0</v>
      </c>
      <c r="Q34" s="47">
        <f>SUMIF('Daily Report'!$AE$7:$AE$263,'Cumulative Table'!$X$7:$X$201,'Daily Report'!$M$7:$M$263)</f>
        <v>1</v>
      </c>
      <c r="R34" s="47">
        <f>SUMIF('Daily Report'!$AE$7:$AE$263,'Cumulative Table'!$X$7:$X$201,'Daily Report'!$N$7:$N$263)</f>
        <v>0</v>
      </c>
      <c r="S34" s="47">
        <f>SUMIF('Daily Report'!$AE$7:$AE$263,'Cumulative Table'!$X$7:$X$201,'Daily Report'!$O$7:$O$263)</f>
        <v>0</v>
      </c>
      <c r="T34" s="47">
        <f>SUMIF('Daily Report'!$AE$7:$AE$263,'Cumulative Table'!$X$8:$X$201,'Daily Report'!$P$7:$P$263)</f>
        <v>0</v>
      </c>
      <c r="U34" s="47">
        <f>SUMIF('Daily Report'!$AE$7:$AE$263,'Cumulative Table'!$X$7:$X$201,'Daily Report'!$Q$7:$Q$263)</f>
        <v>0</v>
      </c>
      <c r="V34" s="49"/>
      <c r="W34" s="50">
        <f t="shared" ca="1" si="6"/>
        <v>7.1428571428571425E-2</v>
      </c>
      <c r="X34" s="18" t="str">
        <f t="shared" si="7"/>
        <v>BR9125WH4L</v>
      </c>
      <c r="Y34" s="295"/>
      <c r="Z34" s="224">
        <f>SUMIFS('Daily Report'!$H$7:$H$263, 'Daily Report'!$AD$7:$AD$263, $X34&amp;"KIEM", 'Daily Report'!$A$7:$A$263, $Y$28)</f>
        <v>0</v>
      </c>
      <c r="AA34" s="295"/>
      <c r="AB34" s="224">
        <f>SUMIFS('Daily Report'!$H$7:$H$200,'Daily Report'!$AD$7:$AD$200,'Cumulative Table'!$X34&amp;"KIEM",'Daily Report'!$A$7:$A$200,'Cumulative Table'!$AA$28)</f>
        <v>0</v>
      </c>
      <c r="AC34" s="295"/>
      <c r="AD34" s="224">
        <f>SUMIFS('Daily Report'!$H$7:$H$200,'Daily Report'!$AD$7:$AD$200,'Cumulative Table'!$X34&amp;"KIEM",'Daily Report'!$A$7:$A$200,'Cumulative Table'!$AC$28)</f>
        <v>14</v>
      </c>
      <c r="AE34" s="224">
        <f>SUMIFS('Daily Report'!$H$7:$H$200,'Daily Report'!$AD$7:$AD$200,'Cumulative Table'!$X34&amp;"KIEM",'Daily Report'!$A$7:$A$200,"&gt;="&amp;'Cumulative Table'!$Y$28,'Daily Report'!$A$7:$A$200,"&lt;="&amp;'Cumulative Table'!$AC$28)</f>
        <v>14</v>
      </c>
      <c r="AF34" s="298"/>
      <c r="AG34" s="298"/>
      <c r="AH34" s="225">
        <f>SUMIFS('Daily Report'!$H$7:$H$200,'Daily Report'!$AD$7:$AD$200,'Cumulative Table'!$X34&amp;"KIEM",'Daily Report'!$A$7:$A$200,"&gt;="&amp;'Cumulative Table'!$AF$28,'Daily Report'!$A$7:$A$200,"&lt;="&amp;'Cumulative Table'!$AG$28)</f>
        <v>14</v>
      </c>
      <c r="AI34" s="225">
        <f>SUMIFS('Daily Report'!$H$7:$H$200,'Daily Report'!$AD$7:$AD$200,'Cumulative Table'!$X34&amp;"TAIKIEM",'Daily Report'!$A$7:$A$200,"&gt;="&amp;'Cumulative Table'!$AF$28,'Daily Report'!$A$7:$A$200,"&lt;="&amp;'Cumulative Table'!$AG$28)</f>
        <v>1</v>
      </c>
    </row>
    <row r="35" spans="1:35" ht="15.75" thickBot="1">
      <c r="A35" s="268"/>
      <c r="B35" s="270"/>
      <c r="C35" s="270"/>
      <c r="D35" s="45" t="s">
        <v>161</v>
      </c>
      <c r="E35" s="19" t="s">
        <v>175</v>
      </c>
      <c r="F35" s="15" t="e">
        <f>SUMIF('Dữ Liệu'!#REF!,'Cumulative Table'!$X14,'Dữ Liệu'!H8:H141)</f>
        <v>#REF!</v>
      </c>
      <c r="G35" s="14">
        <f ca="1">SUMIF('Daily Report'!$AD$7:$AD$263,'Cumulative Table'!$X$7:$X$201&amp;"KIEM",'Daily Report'!$H$7:$H$199)</f>
        <v>13</v>
      </c>
      <c r="H35" s="14">
        <f>SUMIF('Daily Report'!$AD$7:$AD$263,'Cumulative Table'!$X$7:$X$201&amp;"TAIKIEM",'Daily Report'!$H$7:$H$263)</f>
        <v>1</v>
      </c>
      <c r="I35" s="14">
        <f>SUMIF('Daily Report'!$AE$7:$AE$263,'Cumulative Table'!$X$7:$X$201,'Daily Report'!$I$7:$I$263)</f>
        <v>13</v>
      </c>
      <c r="J35" s="14">
        <f>SUMIF('Daily Report'!AE34:AE290,'Cumulative Table'!X35:X228,'Daily Report'!R34:R290)</f>
        <v>0</v>
      </c>
      <c r="K35" s="21"/>
      <c r="L35" s="19"/>
      <c r="M35" s="19"/>
      <c r="N35" s="22">
        <f t="shared" si="5"/>
        <v>0</v>
      </c>
      <c r="O35" s="46">
        <f>SUMIF('Daily Report'!$AE$7:$AE$199,'Cumulative Table'!$X$7:$X$201,'Daily Report'!$K$7:$K$199)</f>
        <v>0</v>
      </c>
      <c r="P35" s="47">
        <f>SUMIF('Daily Report'!$AE$7:$AE$263,'Cumulative Table'!X$7:$X$201,'Daily Report'!$L$7:$L$263)</f>
        <v>0</v>
      </c>
      <c r="Q35" s="47">
        <f>SUMIF('Daily Report'!$AE$7:$AE$263,'Cumulative Table'!$X$7:$X$201,'Daily Report'!$M$7:$M$263)</f>
        <v>0</v>
      </c>
      <c r="R35" s="47">
        <f>SUMIF('Daily Report'!$AE$7:$AE$263,'Cumulative Table'!$X$7:$X$201,'Daily Report'!$N$7:$N$263)</f>
        <v>0</v>
      </c>
      <c r="S35" s="47">
        <f>SUMIF('Daily Report'!$AE$7:$AE$263,'Cumulative Table'!$X$7:$X$201,'Daily Report'!$O$7:$O$263)</f>
        <v>1</v>
      </c>
      <c r="T35" s="47">
        <f>SUMIF('Daily Report'!$AE$7:$AE$263,'Cumulative Table'!$X$8:$X$201,'Daily Report'!$P$7:$P$263)</f>
        <v>0</v>
      </c>
      <c r="U35" s="47">
        <f>SUMIF('Daily Report'!$AE$7:$AE$263,'Cumulative Table'!$X$7:$X$201,'Daily Report'!$Q$7:$Q$263)</f>
        <v>0</v>
      </c>
      <c r="V35" s="49"/>
      <c r="W35" s="50">
        <f t="shared" ca="1" si="6"/>
        <v>7.6923076923076927E-2</v>
      </c>
      <c r="X35" s="18" t="str">
        <f t="shared" si="7"/>
        <v>BR9125WH5L</v>
      </c>
      <c r="Y35" s="295"/>
      <c r="Z35" s="224">
        <f>SUMIFS('Daily Report'!$H$7:$H$263, 'Daily Report'!$AD$7:$AD$263, $X35&amp;"KIEM", 'Daily Report'!$A$7:$A$263, $Y$28)</f>
        <v>0</v>
      </c>
      <c r="AA35" s="295"/>
      <c r="AB35" s="224">
        <f>SUMIFS('Daily Report'!$H$7:$H$200,'Daily Report'!$AD$7:$AD$200,'Cumulative Table'!$X35&amp;"KIEM",'Daily Report'!$A$7:$A$200,'Cumulative Table'!$AA$28)</f>
        <v>0</v>
      </c>
      <c r="AC35" s="295"/>
      <c r="AD35" s="224">
        <f>SUMIFS('Daily Report'!$H$7:$H$200,'Daily Report'!$AD$7:$AD$200,'Cumulative Table'!$X35&amp;"KIEM",'Daily Report'!$A$7:$A$200,'Cumulative Table'!$AC$28)</f>
        <v>13</v>
      </c>
      <c r="AE35" s="224">
        <f>SUMIFS('Daily Report'!$H$7:$H$200,'Daily Report'!$AD$7:$AD$200,'Cumulative Table'!$X35&amp;"KIEM",'Daily Report'!$A$7:$A$200,"&gt;="&amp;'Cumulative Table'!$Y$28,'Daily Report'!$A$7:$A$200,"&lt;="&amp;'Cumulative Table'!$AC$28)</f>
        <v>13</v>
      </c>
      <c r="AF35" s="298"/>
      <c r="AG35" s="298"/>
      <c r="AH35" s="225">
        <f>SUMIFS('Daily Report'!$H$7:$H$200,'Daily Report'!$AD$7:$AD$200,'Cumulative Table'!$X35&amp;"KIEM",'Daily Report'!$A$7:$A$200,"&gt;="&amp;'Cumulative Table'!$AF$28,'Daily Report'!$A$7:$A$200,"&lt;="&amp;'Cumulative Table'!$AG$28)</f>
        <v>13</v>
      </c>
      <c r="AI35" s="225">
        <f>SUMIFS('Daily Report'!$H$7:$H$200,'Daily Report'!$AD$7:$AD$200,'Cumulative Table'!$X35&amp;"TAIKIEM",'Daily Report'!$A$7:$A$200,"&gt;="&amp;'Cumulative Table'!$AF$28,'Daily Report'!$A$7:$A$200,"&lt;="&amp;'Cumulative Table'!$AG$28)</f>
        <v>1</v>
      </c>
    </row>
    <row r="36" spans="1:35" s="26" customFormat="1" ht="21.75" customHeight="1" thickBot="1">
      <c r="A36" s="271" t="s">
        <v>114</v>
      </c>
      <c r="B36" s="272"/>
      <c r="C36" s="272"/>
      <c r="D36" s="272"/>
      <c r="E36" s="273"/>
      <c r="F36" s="23" t="e">
        <f t="shared" ref="F36:V36" si="8">SUM(F28:F35)</f>
        <v>#REF!</v>
      </c>
      <c r="G36" s="23">
        <f t="shared" ca="1" si="8"/>
        <v>1102</v>
      </c>
      <c r="H36" s="25">
        <f t="shared" si="8"/>
        <v>137</v>
      </c>
      <c r="I36" s="35">
        <f>SUM(I28:I35)</f>
        <v>1102</v>
      </c>
      <c r="J36" s="23">
        <f t="shared" si="8"/>
        <v>0</v>
      </c>
      <c r="K36" s="24">
        <f t="shared" si="8"/>
        <v>0</v>
      </c>
      <c r="L36" s="24">
        <f t="shared" si="8"/>
        <v>0</v>
      </c>
      <c r="M36" s="23">
        <f t="shared" si="8"/>
        <v>0</v>
      </c>
      <c r="N36" s="25">
        <f t="shared" si="8"/>
        <v>0</v>
      </c>
      <c r="O36" s="25">
        <f t="shared" si="8"/>
        <v>3</v>
      </c>
      <c r="P36" s="25">
        <f t="shared" si="8"/>
        <v>0</v>
      </c>
      <c r="Q36" s="25">
        <f t="shared" si="8"/>
        <v>20</v>
      </c>
      <c r="R36" s="25">
        <f t="shared" si="8"/>
        <v>5</v>
      </c>
      <c r="S36" s="25">
        <f t="shared" si="8"/>
        <v>79</v>
      </c>
      <c r="T36" s="25">
        <f t="shared" si="8"/>
        <v>30</v>
      </c>
      <c r="U36" s="25">
        <f t="shared" si="8"/>
        <v>0</v>
      </c>
      <c r="V36" s="25">
        <f t="shared" si="8"/>
        <v>0</v>
      </c>
      <c r="W36" s="36">
        <f t="shared" ca="1" si="6"/>
        <v>0.12431941923774954</v>
      </c>
      <c r="X36" s="18"/>
      <c r="Y36" s="296"/>
      <c r="Z36" s="224">
        <f>SUMIFS('Daily Report'!$H$7:$H$263, 'Daily Report'!$AD$7:$AD$263, $X36&amp;"KIEM", 'Daily Report'!$A$7:$A$263, $Y$28)</f>
        <v>0</v>
      </c>
      <c r="AA36" s="296"/>
      <c r="AB36" s="224">
        <f>SUMIFS('Daily Report'!$H$7:$H$200,'Daily Report'!$AD$7:$AD$200,'Cumulative Table'!$X36&amp;"KIEM",'Daily Report'!$A$7:$A$200,'Cumulative Table'!$AA$28)</f>
        <v>0</v>
      </c>
      <c r="AC36" s="296"/>
      <c r="AD36" s="224">
        <f>SUMIFS('Daily Report'!$H$7:$H$200,'Daily Report'!$AD$7:$AD$200,'Cumulative Table'!$X36&amp;"KIEM",'Daily Report'!$A$7:$A$200,'Cumulative Table'!$AC$28)</f>
        <v>0</v>
      </c>
      <c r="AE36" s="224">
        <f>SUMIFS('Daily Report'!$H$7:$H$200,'Daily Report'!$AD$7:$AD$200,'Cumulative Table'!$X36&amp;"KIEM",'Daily Report'!$A$7:$A$200,"&gt;="&amp;'Cumulative Table'!$Y$28,'Daily Report'!$A$7:$A$200,"&lt;="&amp;'Cumulative Table'!$AC$28)</f>
        <v>0</v>
      </c>
      <c r="AF36" s="299"/>
      <c r="AG36" s="299"/>
      <c r="AH36" s="225">
        <f>SUMIFS('Daily Report'!$H$7:$H$200,'Daily Report'!$AD$7:$AD$200,'Cumulative Table'!$X36&amp;"KIEM",'Daily Report'!$A$7:$A$200,"&gt;="&amp;'Cumulative Table'!$AF$28,'Daily Report'!$A$7:$A$200,"&lt;="&amp;'Cumulative Table'!$AG$28)</f>
        <v>0</v>
      </c>
      <c r="AI36" s="225">
        <f>SUMIFS('Daily Report'!$H$7:$H$200,'Daily Report'!$AD$7:$AD$200,'Cumulative Table'!$X36&amp;"TAIKIEM",'Daily Report'!$A$7:$A$200,"&gt;="&amp;'Cumulative Table'!$AF$28,'Daily Report'!$A$7:$A$200,"&lt;="&amp;'Cumulative Table'!$AG$28)</f>
        <v>0</v>
      </c>
    </row>
    <row r="37" spans="1:35">
      <c r="A37" s="274" t="s">
        <v>115</v>
      </c>
      <c r="B37" s="275"/>
      <c r="C37" s="51" t="s">
        <v>116</v>
      </c>
      <c r="D37" s="253" t="s">
        <v>117</v>
      </c>
      <c r="E37" s="253"/>
      <c r="F37" s="253"/>
      <c r="G37" s="254"/>
      <c r="H37" s="51" t="s">
        <v>118</v>
      </c>
      <c r="I37" s="278" t="s">
        <v>119</v>
      </c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80"/>
      <c r="X37" s="18"/>
    </row>
    <row r="38" spans="1:35">
      <c r="A38" s="249"/>
      <c r="B38" s="276"/>
      <c r="C38" s="52" t="s">
        <v>120</v>
      </c>
      <c r="D38" s="258" t="s">
        <v>121</v>
      </c>
      <c r="E38" s="258"/>
      <c r="F38" s="258"/>
      <c r="G38" s="259"/>
      <c r="H38" s="53" t="s">
        <v>122</v>
      </c>
      <c r="I38" s="281" t="s">
        <v>123</v>
      </c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3"/>
      <c r="X38" s="18"/>
      <c r="AB38" s="37"/>
    </row>
    <row r="39" spans="1:35" ht="15.75" thickBot="1">
      <c r="A39" s="249"/>
      <c r="B39" s="276"/>
      <c r="C39" s="53" t="s">
        <v>124</v>
      </c>
      <c r="D39" s="284" t="s">
        <v>125</v>
      </c>
      <c r="E39" s="284"/>
      <c r="F39" s="284"/>
      <c r="G39" s="285"/>
      <c r="H39" s="53" t="s">
        <v>126</v>
      </c>
      <c r="I39" s="286" t="s">
        <v>127</v>
      </c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8"/>
      <c r="X39" s="18"/>
    </row>
    <row r="40" spans="1:35" ht="15.75" thickBot="1">
      <c r="A40" s="251"/>
      <c r="B40" s="277"/>
      <c r="C40" s="55" t="s">
        <v>128</v>
      </c>
      <c r="D40" s="56"/>
      <c r="E40" s="56"/>
      <c r="F40" s="56"/>
      <c r="G40" s="56"/>
      <c r="H40" s="56"/>
      <c r="I40" s="57"/>
      <c r="J40" s="57"/>
      <c r="K40" s="57"/>
      <c r="L40" s="57"/>
      <c r="M40" s="57"/>
      <c r="N40" s="57"/>
      <c r="W40" s="34"/>
      <c r="X40" s="18"/>
      <c r="Z40" s="37"/>
    </row>
    <row r="41" spans="1:35">
      <c r="A41" s="247" t="s">
        <v>129</v>
      </c>
      <c r="B41" s="248"/>
      <c r="C41" s="27" t="s">
        <v>203</v>
      </c>
      <c r="D41" s="253" t="s">
        <v>130</v>
      </c>
      <c r="E41" s="253"/>
      <c r="F41" s="253"/>
      <c r="G41" s="254"/>
      <c r="H41" s="27" t="s">
        <v>131</v>
      </c>
      <c r="I41" s="255" t="s">
        <v>132</v>
      </c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7"/>
      <c r="X41" s="18"/>
    </row>
    <row r="42" spans="1:35">
      <c r="A42" s="249"/>
      <c r="B42" s="250"/>
      <c r="C42" s="28" t="s">
        <v>133</v>
      </c>
      <c r="D42" s="258" t="s">
        <v>134</v>
      </c>
      <c r="E42" s="258"/>
      <c r="F42" s="258"/>
      <c r="G42" s="259"/>
      <c r="H42" s="29" t="s">
        <v>135</v>
      </c>
      <c r="I42" s="255" t="s">
        <v>136</v>
      </c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7"/>
      <c r="X42" s="18"/>
    </row>
    <row r="43" spans="1:35">
      <c r="A43" s="249"/>
      <c r="B43" s="250"/>
      <c r="C43" s="29" t="s">
        <v>204</v>
      </c>
      <c r="D43" s="260" t="s">
        <v>137</v>
      </c>
      <c r="E43" s="260"/>
      <c r="F43" s="260"/>
      <c r="G43" s="261"/>
      <c r="H43" s="29" t="s">
        <v>138</v>
      </c>
      <c r="I43" s="255" t="s">
        <v>139</v>
      </c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7"/>
      <c r="X43" s="18"/>
    </row>
    <row r="44" spans="1:35" ht="15.75" thickBot="1">
      <c r="A44" s="251"/>
      <c r="B44" s="252"/>
      <c r="C44" s="262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18" t="str">
        <f>A44&amp;D44&amp;E44</f>
        <v/>
      </c>
    </row>
    <row r="45" spans="1:35" ht="18" customHeight="1" thickBot="1">
      <c r="A45" s="7" t="s">
        <v>189</v>
      </c>
      <c r="B45" s="8" t="s">
        <v>95</v>
      </c>
      <c r="C45" s="9" t="s">
        <v>190</v>
      </c>
      <c r="D45" s="10" t="s">
        <v>191</v>
      </c>
      <c r="E45" s="10" t="s">
        <v>192</v>
      </c>
      <c r="F45" s="10" t="s">
        <v>193</v>
      </c>
      <c r="G45" s="10" t="s">
        <v>194</v>
      </c>
      <c r="H45" s="10" t="s">
        <v>195</v>
      </c>
      <c r="I45" s="10" t="s">
        <v>196</v>
      </c>
      <c r="J45" s="10" t="s">
        <v>197</v>
      </c>
      <c r="K45" s="264" t="s">
        <v>198</v>
      </c>
      <c r="L45" s="265"/>
      <c r="M45" s="265"/>
      <c r="N45" s="266"/>
      <c r="O45" s="30" t="s">
        <v>140</v>
      </c>
      <c r="P45" s="30" t="s">
        <v>141</v>
      </c>
      <c r="Q45" s="31" t="s">
        <v>16</v>
      </c>
      <c r="R45" s="30" t="s">
        <v>142</v>
      </c>
      <c r="S45" s="30" t="s">
        <v>90</v>
      </c>
      <c r="T45" s="30" t="s">
        <v>18</v>
      </c>
      <c r="U45" s="30" t="s">
        <v>19</v>
      </c>
      <c r="V45" s="32" t="s">
        <v>20</v>
      </c>
      <c r="W45" s="33" t="s">
        <v>21</v>
      </c>
    </row>
    <row r="46" spans="1:35" ht="18" customHeight="1" thickBot="1">
      <c r="A46" s="7" t="s">
        <v>96</v>
      </c>
      <c r="B46" s="8" t="s">
        <v>97</v>
      </c>
      <c r="C46" s="9" t="s">
        <v>98</v>
      </c>
      <c r="D46" s="10" t="s">
        <v>99</v>
      </c>
      <c r="E46" s="10" t="s">
        <v>100</v>
      </c>
      <c r="F46" s="10" t="s">
        <v>101</v>
      </c>
      <c r="G46" s="10" t="s">
        <v>102</v>
      </c>
      <c r="H46" s="10" t="s">
        <v>103</v>
      </c>
      <c r="I46" s="10" t="s">
        <v>104</v>
      </c>
      <c r="J46" s="10" t="s">
        <v>104</v>
      </c>
      <c r="K46" s="264" t="s">
        <v>105</v>
      </c>
      <c r="L46" s="265"/>
      <c r="M46" s="265"/>
      <c r="N46" s="266"/>
      <c r="O46" s="30" t="s">
        <v>143</v>
      </c>
      <c r="P46" s="30" t="s">
        <v>144</v>
      </c>
      <c r="Q46" s="31" t="s">
        <v>145</v>
      </c>
      <c r="R46" s="30" t="s">
        <v>146</v>
      </c>
      <c r="S46" s="30" t="s">
        <v>147</v>
      </c>
      <c r="T46" s="30" t="s">
        <v>148</v>
      </c>
      <c r="U46" s="30" t="s">
        <v>149</v>
      </c>
      <c r="V46" s="32" t="s">
        <v>49</v>
      </c>
      <c r="W46" s="33" t="s">
        <v>150</v>
      </c>
    </row>
    <row r="47" spans="1:35" ht="18" customHeight="1" thickBot="1">
      <c r="A47" s="7" t="s">
        <v>106</v>
      </c>
      <c r="B47" s="8" t="s">
        <v>9</v>
      </c>
      <c r="C47" s="9" t="s">
        <v>107</v>
      </c>
      <c r="D47" s="10" t="s">
        <v>108</v>
      </c>
      <c r="E47" s="10" t="s">
        <v>100</v>
      </c>
      <c r="F47" s="10" t="s">
        <v>109</v>
      </c>
      <c r="G47" s="10" t="s">
        <v>199</v>
      </c>
      <c r="H47" s="10" t="s">
        <v>200</v>
      </c>
      <c r="I47" s="11" t="s">
        <v>201</v>
      </c>
      <c r="J47" s="11" t="s">
        <v>202</v>
      </c>
      <c r="K47" s="12" t="s">
        <v>110</v>
      </c>
      <c r="L47" s="10" t="s">
        <v>111</v>
      </c>
      <c r="M47" s="10" t="s">
        <v>112</v>
      </c>
      <c r="N47" s="13" t="s">
        <v>113</v>
      </c>
      <c r="O47" s="43" t="s">
        <v>151</v>
      </c>
      <c r="P47" s="43" t="s">
        <v>152</v>
      </c>
      <c r="Q47" s="43" t="s">
        <v>153</v>
      </c>
      <c r="R47" s="43" t="s">
        <v>154</v>
      </c>
      <c r="S47" s="43" t="s">
        <v>155</v>
      </c>
      <c r="T47" s="43" t="s">
        <v>156</v>
      </c>
      <c r="U47" s="43" t="s">
        <v>157</v>
      </c>
      <c r="V47" s="44" t="s">
        <v>78</v>
      </c>
      <c r="W47" s="43" t="s">
        <v>158</v>
      </c>
    </row>
    <row r="48" spans="1:35" ht="15.75" thickBot="1">
      <c r="A48" s="267" t="s">
        <v>165</v>
      </c>
      <c r="B48" s="269" t="str">
        <f>VLOOKUP($A$7,'Daily Report'!$C$7:$E$263,2,FALSE)</f>
        <v>GUA</v>
      </c>
      <c r="C48" s="269" t="str">
        <f>VLOOKUP($A$7,'Daily Report'!$C$7:$E$263,3,FALSE)</f>
        <v>SHIRT</v>
      </c>
      <c r="D48" s="45" t="s">
        <v>161</v>
      </c>
      <c r="E48" s="14" t="s">
        <v>174</v>
      </c>
      <c r="F48" s="15"/>
      <c r="G48" s="14">
        <f ca="1">SUMIF('Daily Report'!$AD$7:$AD$263,'Cumulative Table'!$X$7:$X$201&amp;"KIEM",'Daily Report'!$H$7:$H$199)</f>
        <v>0</v>
      </c>
      <c r="H48" s="14">
        <f>SUMIF('Daily Report'!$AD$7:$AD$263,'Cumulative Table'!$X$7:$X$201&amp;"TAIKIEM",'Daily Report'!$H$7:$H$263)</f>
        <v>0</v>
      </c>
      <c r="I48" s="14">
        <f>SUMIF('Daily Report'!$AE$7:$AE$263,'Cumulative Table'!$X$7:$X$201,'Daily Report'!$I$7:$I$263)</f>
        <v>0</v>
      </c>
      <c r="J48" s="14">
        <f>SUMIF('Daily Report'!AE47:AE303,'Cumulative Table'!X48:X241,'Daily Report'!R47:R303)</f>
        <v>0</v>
      </c>
      <c r="K48" s="16"/>
      <c r="L48" s="14"/>
      <c r="M48" s="14"/>
      <c r="N48" s="17">
        <f t="shared" ref="N48:N55" si="9">SUM(K48:M48)</f>
        <v>0</v>
      </c>
      <c r="O48" s="46">
        <f>SUMIF('Daily Report'!$AE$7:$AE$263, 'Cumulative Table'!$X$7:$X$265,'Daily Report'!$K$7:$K$263)</f>
        <v>0</v>
      </c>
      <c r="P48" s="47">
        <f>SUMIF('Daily Report'!$AE$7:$AE$263, 'Cumulative Table'!$X$7:$X$201,'Daily Report'!$L$7:$L$263)</f>
        <v>0</v>
      </c>
      <c r="Q48" s="47">
        <f>SUMIF('Daily Report'!$AE$7:$AE$263,'Cumulative Table'!$X$7:$X$201, 'Daily Report'!$M$7:$M$263)</f>
        <v>0</v>
      </c>
      <c r="R48" s="47">
        <f>SUMIF('Daily Report'!$AE$7:$AE$263, 'Cumulative Table'!$X$7:$X$265, 'Daily Report'!$N$7:$N$263)</f>
        <v>0</v>
      </c>
      <c r="S48" s="47">
        <f>SUMIF('Daily Report'!$AE$7:$AE$263, 'Cumulative Table'!$X$7:$X$265, 'Daily Report'!$O$7:$O$263)</f>
        <v>0</v>
      </c>
      <c r="T48" s="47">
        <f>SUMIF('Daily Report'!$AE$7:$AE$263, 'Cumulative Table'!$X$7:$X$201, 'Daily Report'!$P$7:$P$263)</f>
        <v>0</v>
      </c>
      <c r="U48" s="47">
        <f>SUMIF('Daily Report'!$AE$7:$AE$263,'Cumulative Table'!$X$7:$X$201,'Daily Report'!$Q$7:$Q$263)</f>
        <v>0</v>
      </c>
      <c r="V48" s="47"/>
      <c r="W48" s="48" t="e">
        <f t="shared" ref="W48:W55" ca="1" si="10">H48/G48</f>
        <v>#DIV/0!</v>
      </c>
      <c r="X48" s="18" t="str">
        <f t="shared" ref="X48:X55" si="11">$A$48&amp;D48&amp;E48</f>
        <v>BR9071WHSS</v>
      </c>
      <c r="Y48" s="37"/>
      <c r="AA48" s="37"/>
    </row>
    <row r="49" spans="1:27" ht="15.75" thickBot="1">
      <c r="A49" s="268"/>
      <c r="B49" s="270"/>
      <c r="C49" s="270"/>
      <c r="D49" s="45" t="s">
        <v>161</v>
      </c>
      <c r="E49" s="19" t="s">
        <v>169</v>
      </c>
      <c r="F49" s="20"/>
      <c r="G49" s="14">
        <f ca="1">SUMIF('Daily Report'!$AD$7:$AD$263,'Cumulative Table'!$X$7:$X$201&amp;"KIEM",'Daily Report'!$H$7:$H$199)</f>
        <v>101</v>
      </c>
      <c r="H49" s="14">
        <f>SUMIF('Daily Report'!$AD$7:$AD$263,'Cumulative Table'!$X$7:$X$201&amp;"TAIKIEM",'Daily Report'!$H$7:$H$263)</f>
        <v>11</v>
      </c>
      <c r="I49" s="14">
        <f>SUMIF('Daily Report'!$AE$7:$AE$263,'Cumulative Table'!$X$7:$X$201,'Daily Report'!$I$7:$I$263)</f>
        <v>101</v>
      </c>
      <c r="J49" s="14">
        <f>SUMIF('Daily Report'!AE48:AE304,'Cumulative Table'!X49:X242,'Daily Report'!R48:R304)</f>
        <v>0</v>
      </c>
      <c r="K49" s="21"/>
      <c r="L49" s="19"/>
      <c r="M49" s="19"/>
      <c r="N49" s="22">
        <f t="shared" si="9"/>
        <v>0</v>
      </c>
      <c r="O49" s="46">
        <f>SUMIF('Daily Report'!$AE$7:$AE$263, 'Cumulative Table'!$X$7:$X$265,'Daily Report'!$K$7:$K$263)</f>
        <v>0</v>
      </c>
      <c r="P49" s="47">
        <f>SUMIF('Daily Report'!$AE$7:$AE$263,'Cumulative Table'!$X$7:$X$201,'Daily Report'!$L$7:$L$263)</f>
        <v>0</v>
      </c>
      <c r="Q49" s="47">
        <f>SUMIF('Daily Report'!$AE$7:$AE$263,'Cumulative Table'!$X$7:$X$201, 'Daily Report'!$M$7:$M$263)</f>
        <v>0</v>
      </c>
      <c r="R49" s="47">
        <f>SUMIF('Daily Report'!$AE$7:$AE$263, 'Cumulative Table'!$X$7:$X$265, 'Daily Report'!$N$7:$N$263)</f>
        <v>0</v>
      </c>
      <c r="S49" s="47">
        <f>SUMIF('Daily Report'!$AE$7:$AE$263, 'Cumulative Table'!$X$7:$X$265, 'Daily Report'!$O$7:$O$263)</f>
        <v>9</v>
      </c>
      <c r="T49" s="47">
        <f>SUMIF('Daily Report'!$AE$7:$AE$263, 'Cumulative Table'!$X$7:$X$201, 'Daily Report'!$P$7:$P$263)</f>
        <v>2</v>
      </c>
      <c r="U49" s="47">
        <f>SUMIF('Daily Report'!$AE$7:$AE$263,'Cumulative Table'!$X$7:$X$201,'Daily Report'!$Q$7:$Q$263)</f>
        <v>0</v>
      </c>
      <c r="V49" s="49"/>
      <c r="W49" s="50">
        <f t="shared" ca="1" si="10"/>
        <v>0.10891089108910891</v>
      </c>
      <c r="X49" s="18" t="str">
        <f t="shared" si="11"/>
        <v>BR9071WHS</v>
      </c>
    </row>
    <row r="50" spans="1:27" ht="15.75" thickBot="1">
      <c r="A50" s="268"/>
      <c r="B50" s="270"/>
      <c r="C50" s="270"/>
      <c r="D50" s="45" t="s">
        <v>161</v>
      </c>
      <c r="E50" s="19" t="s">
        <v>166</v>
      </c>
      <c r="F50" s="20"/>
      <c r="G50" s="14">
        <f ca="1">SUMIF('Daily Report'!$AD$7:$AD$263,'Cumulative Table'!$X$7:$X$201&amp;"KIEM",'Daily Report'!$H$7:$H$199)</f>
        <v>202</v>
      </c>
      <c r="H50" s="14">
        <f>SUMIF('Daily Report'!$AD$7:$AD$263,'Cumulative Table'!$X$7:$X$201&amp;"TAIKIEM",'Daily Report'!$H$7:$H$263)</f>
        <v>17</v>
      </c>
      <c r="I50" s="14">
        <f>SUMIF('Daily Report'!$AE$7:$AE$263,'Cumulative Table'!$X$7:$X$201,'Daily Report'!$I$7:$I$263)</f>
        <v>202</v>
      </c>
      <c r="J50" s="14">
        <f>SUMIF('Daily Report'!AE49:AE305,'Cumulative Table'!X50:X243,'Daily Report'!R49:R305)</f>
        <v>0</v>
      </c>
      <c r="K50" s="21"/>
      <c r="L50" s="19"/>
      <c r="M50" s="19"/>
      <c r="N50" s="22">
        <f t="shared" si="9"/>
        <v>0</v>
      </c>
      <c r="O50" s="46">
        <f>SUMIF('Daily Report'!$AE$7:$AE$263, 'Cumulative Table'!$X$7:$X$265,'Daily Report'!$K$7:$K$263)</f>
        <v>0</v>
      </c>
      <c r="P50" s="47">
        <f>SUMIF('Daily Report'!$AE$7:$AE$263,'Cumulative Table'!$X$7:$X$201,'Daily Report'!$L$7:$L$263)</f>
        <v>0</v>
      </c>
      <c r="Q50" s="47">
        <f>SUMIF('Daily Report'!$AE$7:$AE$263,'Cumulative Table'!$X$7:$X$201, 'Daily Report'!$M$7:$M$263)</f>
        <v>0</v>
      </c>
      <c r="R50" s="47">
        <f>SUMIF('Daily Report'!$AE$7:$AE$263, 'Cumulative Table'!$X$7:$X$265, 'Daily Report'!$N$7:$N$263)</f>
        <v>0</v>
      </c>
      <c r="S50" s="47">
        <f>SUMIF('Daily Report'!$AE$7:$AE$263, 'Cumulative Table'!$X$7:$X$265, 'Daily Report'!$O$7:$O$263)</f>
        <v>14</v>
      </c>
      <c r="T50" s="47">
        <f>SUMIF('Daily Report'!$AE$7:$AE$263, 'Cumulative Table'!$X$7:$X$201, 'Daily Report'!$P$7:$P$263)</f>
        <v>3</v>
      </c>
      <c r="U50" s="47">
        <f>SUMIF('Daily Report'!$AE$7:$AE$263,'Cumulative Table'!$X$7:$X$201,'Daily Report'!$Q$7:$Q$263)</f>
        <v>0</v>
      </c>
      <c r="V50" s="49"/>
      <c r="W50" s="50">
        <f t="shared" ca="1" si="10"/>
        <v>8.4158415841584164E-2</v>
      </c>
      <c r="X50" s="18" t="str">
        <f t="shared" si="11"/>
        <v>BR9071WHM</v>
      </c>
    </row>
    <row r="51" spans="1:27" ht="15.75" thickBot="1">
      <c r="A51" s="268"/>
      <c r="B51" s="270"/>
      <c r="C51" s="270"/>
      <c r="D51" s="45" t="s">
        <v>161</v>
      </c>
      <c r="E51" s="19" t="s">
        <v>162</v>
      </c>
      <c r="F51" s="20"/>
      <c r="G51" s="14">
        <f ca="1">SUMIF('Daily Report'!$AD$7:$AD$263,'Cumulative Table'!$X$7:$X$201&amp;"KIEM",'Daily Report'!$H$7:$H$199)</f>
        <v>101</v>
      </c>
      <c r="H51" s="14">
        <f>SUMIF('Daily Report'!$AD$7:$AD$263,'Cumulative Table'!$X$7:$X$201&amp;"TAIKIEM",'Daily Report'!$H$7:$H$263)</f>
        <v>12</v>
      </c>
      <c r="I51" s="14">
        <f>SUMIF('Daily Report'!$AE$7:$AE$263,'Cumulative Table'!$X$7:$X$201,'Daily Report'!$I$7:$I$263)</f>
        <v>101</v>
      </c>
      <c r="J51" s="14">
        <f>SUMIF('Daily Report'!AE50:AE306,'Cumulative Table'!X51:X244,'Daily Report'!R50:R306)</f>
        <v>0</v>
      </c>
      <c r="K51" s="21"/>
      <c r="L51" s="19"/>
      <c r="M51" s="19"/>
      <c r="N51" s="22">
        <f t="shared" si="9"/>
        <v>0</v>
      </c>
      <c r="O51" s="46">
        <f>SUMIF('Daily Report'!$AE$7:$AE$263, 'Cumulative Table'!$X$7:$X$265,'Daily Report'!$K$7:$K$263)</f>
        <v>0</v>
      </c>
      <c r="P51" s="47">
        <f>SUMIF('Daily Report'!$AE$7:$AE$263,'Cumulative Table'!$X$7:$X$201,'Daily Report'!$L$7:$L$263)</f>
        <v>0</v>
      </c>
      <c r="Q51" s="47">
        <f>SUMIF('Daily Report'!$AE$7:$AE$263,'Cumulative Table'!$X$7:$X$201, 'Daily Report'!$M$7:$M$263)</f>
        <v>0</v>
      </c>
      <c r="R51" s="47">
        <f>SUMIF('Daily Report'!$AE$7:$AE$263, 'Cumulative Table'!$X$7:$X$265, 'Daily Report'!$N$7:$N$263)</f>
        <v>0</v>
      </c>
      <c r="S51" s="47">
        <f>SUMIF('Daily Report'!$AE$7:$AE$263, 'Cumulative Table'!$X$7:$X$265, 'Daily Report'!$O$7:$O$263)</f>
        <v>9</v>
      </c>
      <c r="T51" s="47">
        <f>SUMIF('Daily Report'!$AE$7:$AE$263, 'Cumulative Table'!$X$7:$X$201, 'Daily Report'!$P$7:$P$263)</f>
        <v>3</v>
      </c>
      <c r="U51" s="47">
        <f>SUMIF('Daily Report'!$AE$7:$AE$263,'Cumulative Table'!$X$7:$X$201,'Daily Report'!$Q$7:$Q$263)</f>
        <v>0</v>
      </c>
      <c r="V51" s="49"/>
      <c r="W51" s="50">
        <f t="shared" ca="1" si="10"/>
        <v>0.11881188118811881</v>
      </c>
      <c r="X51" s="18" t="str">
        <f t="shared" si="11"/>
        <v>BR9071WHL</v>
      </c>
    </row>
    <row r="52" spans="1:27" ht="15.75" thickBot="1">
      <c r="A52" s="268"/>
      <c r="B52" s="270"/>
      <c r="C52" s="270"/>
      <c r="D52" s="45" t="s">
        <v>161</v>
      </c>
      <c r="E52" s="19" t="s">
        <v>164</v>
      </c>
      <c r="F52" s="20"/>
      <c r="G52" s="14">
        <f ca="1">SUMIF('Daily Report'!$AD$7:$AD$263,'Cumulative Table'!$X$7:$X$201&amp;"KIEM",'Daily Report'!$H$7:$H$199)</f>
        <v>51</v>
      </c>
      <c r="H52" s="14">
        <f>SUMIF('Daily Report'!$AD$7:$AD$263,'Cumulative Table'!$X$7:$X$201&amp;"TAIKIEM",'Daily Report'!$H$7:$H$263)</f>
        <v>3</v>
      </c>
      <c r="I52" s="14">
        <f>SUMIF('Daily Report'!$AE$7:$AE$263,'Cumulative Table'!$X$7:$X$201,'Daily Report'!$I$7:$I$263)</f>
        <v>51</v>
      </c>
      <c r="J52" s="14">
        <f>SUMIF('Daily Report'!AE51:AE307,'Cumulative Table'!X52:X245,'Daily Report'!R51:R307)</f>
        <v>0</v>
      </c>
      <c r="K52" s="21"/>
      <c r="L52" s="19"/>
      <c r="M52" s="19"/>
      <c r="N52" s="22">
        <f t="shared" si="9"/>
        <v>0</v>
      </c>
      <c r="O52" s="46">
        <f>SUMIF('Daily Report'!$AE$7:$AE$263, 'Cumulative Table'!$X$7:$X$265,'Daily Report'!$K$7:$K$263)</f>
        <v>0</v>
      </c>
      <c r="P52" s="47">
        <f>SUMIF('Daily Report'!$AE$7:$AE$263,'Cumulative Table'!$X$7:$X$201,'Daily Report'!$L$7:$L$263)</f>
        <v>0</v>
      </c>
      <c r="Q52" s="47">
        <f>SUMIF('Daily Report'!$AE$7:$AE$263,'Cumulative Table'!$X$7:$X$201, 'Daily Report'!$M$7:$M$263)</f>
        <v>0</v>
      </c>
      <c r="R52" s="47">
        <f>SUMIF('Daily Report'!$AE$7:$AE$263, 'Cumulative Table'!$X$7:$X$265, 'Daily Report'!$N$7:$N$263)</f>
        <v>0</v>
      </c>
      <c r="S52" s="47">
        <f>SUMIF('Daily Report'!$AE$7:$AE$263, 'Cumulative Table'!$X$7:$X$265, 'Daily Report'!$O$7:$O$263)</f>
        <v>2</v>
      </c>
      <c r="T52" s="47">
        <f>SUMIF('Daily Report'!$AE$7:$AE$263, 'Cumulative Table'!$X$7:$X$201, 'Daily Report'!$P$7:$P$263)</f>
        <v>1</v>
      </c>
      <c r="U52" s="47">
        <f>SUMIF('Daily Report'!$AE$7:$AE$263,'Cumulative Table'!$X$7:$X$201,'Daily Report'!$Q$7:$Q$263)</f>
        <v>0</v>
      </c>
      <c r="V52" s="49"/>
      <c r="W52" s="50">
        <f t="shared" ca="1" si="10"/>
        <v>5.8823529411764705E-2</v>
      </c>
      <c r="X52" s="18" t="str">
        <f t="shared" si="11"/>
        <v>BR9071WHLL</v>
      </c>
    </row>
    <row r="53" spans="1:27" ht="15.75" thickBot="1">
      <c r="A53" s="268"/>
      <c r="B53" s="270"/>
      <c r="C53" s="270"/>
      <c r="D53" s="45" t="s">
        <v>161</v>
      </c>
      <c r="E53" s="19" t="s">
        <v>177</v>
      </c>
      <c r="F53" s="20"/>
      <c r="G53" s="14">
        <f ca="1">SUMIF('Daily Report'!$AD$7:$AD$263,'Cumulative Table'!$X$7:$X$201&amp;"KIEM",'Daily Report'!$H$7:$H$199)</f>
        <v>0</v>
      </c>
      <c r="H53" s="14">
        <f>SUMIF('Daily Report'!$AD$7:$AD$263,'Cumulative Table'!$X$7:$X$201&amp;"TAIKIEM",'Daily Report'!$H$7:$H$263)</f>
        <v>0</v>
      </c>
      <c r="I53" s="14">
        <f>SUMIF('Daily Report'!$AE$7:$AE$263,'Cumulative Table'!$X$7:$X$201,'Daily Report'!$I$7:$I$263)</f>
        <v>0</v>
      </c>
      <c r="J53" s="14">
        <f>SUMIF('Daily Report'!AE52:AE308,'Cumulative Table'!X53:X246,'Daily Report'!R52:R308)</f>
        <v>0</v>
      </c>
      <c r="K53" s="21"/>
      <c r="L53" s="19"/>
      <c r="M53" s="19"/>
      <c r="N53" s="22">
        <f t="shared" si="9"/>
        <v>0</v>
      </c>
      <c r="O53" s="46">
        <f>SUMIF('Daily Report'!$AE$7:$AE$263, 'Cumulative Table'!$X$7:$X$265,'Daily Report'!$K$7:$K$263)</f>
        <v>0</v>
      </c>
      <c r="P53" s="47">
        <f>SUMIF('Daily Report'!$AE$7:$AE$263,'Cumulative Table'!$X$7:$X$201,'Daily Report'!$L$7:$L$263)</f>
        <v>0</v>
      </c>
      <c r="Q53" s="47">
        <f>SUMIF('Daily Report'!$AE$7:$AE$263,'Cumulative Table'!$X$7:$X$201, 'Daily Report'!$M$7:$M$263)</f>
        <v>0</v>
      </c>
      <c r="R53" s="47">
        <f>SUMIF('Daily Report'!$AE$7:$AE$263, 'Cumulative Table'!$X$7:$X$265, 'Daily Report'!$N$7:$N$263)</f>
        <v>0</v>
      </c>
      <c r="S53" s="47">
        <f>SUMIF('Daily Report'!$AE$7:$AE$263, 'Cumulative Table'!$X$7:$X$265, 'Daily Report'!$O$7:$O$263)</f>
        <v>0</v>
      </c>
      <c r="T53" s="47">
        <f>SUMIF('Daily Report'!$AE$7:$AE$263, 'Cumulative Table'!$X$7:$X$201, 'Daily Report'!$P$7:$P$263)</f>
        <v>0</v>
      </c>
      <c r="U53" s="47">
        <f>SUMIF('Daily Report'!$AE$7:$AE$263,'Cumulative Table'!$X$7:$X$201,'Daily Report'!$Q$7:$Q$263)</f>
        <v>0</v>
      </c>
      <c r="V53" s="49"/>
      <c r="W53" s="50" t="e">
        <f t="shared" ca="1" si="10"/>
        <v>#DIV/0!</v>
      </c>
      <c r="X53" s="18" t="str">
        <f t="shared" si="11"/>
        <v>BR9071WHBL</v>
      </c>
    </row>
    <row r="54" spans="1:27" ht="15.75" thickBot="1">
      <c r="A54" s="268"/>
      <c r="B54" s="270"/>
      <c r="C54" s="270"/>
      <c r="D54" s="45" t="s">
        <v>161</v>
      </c>
      <c r="E54" s="19" t="s">
        <v>173</v>
      </c>
      <c r="F54" s="20"/>
      <c r="G54" s="14">
        <f ca="1">SUMIF('Daily Report'!$AD$7:$AD$263,'Cumulative Table'!$X$7:$X$201&amp;"KIEM",'Daily Report'!$H$7:$H$199)</f>
        <v>20</v>
      </c>
      <c r="H54" s="14">
        <f>SUMIF('Daily Report'!$AD$7:$AD$263,'Cumulative Table'!$X$7:$X$201&amp;"TAIKIEM",'Daily Report'!$H$7:$H$263)</f>
        <v>1</v>
      </c>
      <c r="I54" s="14">
        <f>SUMIF('Daily Report'!$AE$7:$AE$263,'Cumulative Table'!$X$7:$X$201,'Daily Report'!$I$7:$I$263)</f>
        <v>20</v>
      </c>
      <c r="J54" s="14">
        <f>SUMIF('Daily Report'!AE53:AE309,'Cumulative Table'!X54:X247,'Daily Report'!R53:R309)</f>
        <v>0</v>
      </c>
      <c r="K54" s="21"/>
      <c r="L54" s="19"/>
      <c r="M54" s="19"/>
      <c r="N54" s="22">
        <f t="shared" si="9"/>
        <v>0</v>
      </c>
      <c r="O54" s="46">
        <f>SUMIF('Daily Report'!$AE$7:$AE$263, 'Cumulative Table'!$X$7:$X$265,'Daily Report'!$K$7:$K$263)</f>
        <v>0</v>
      </c>
      <c r="P54" s="47">
        <f>SUMIF('Daily Report'!$AE$7:$AE$263,'Cumulative Table'!$X$7:$X$201,'Daily Report'!$L$7:$L$263)</f>
        <v>0</v>
      </c>
      <c r="Q54" s="47">
        <f>SUMIF('Daily Report'!$AE$7:$AE$263,'Cumulative Table'!$X$7:$X$201, 'Daily Report'!$M$7:$M$263)</f>
        <v>0</v>
      </c>
      <c r="R54" s="47">
        <f>SUMIF('Daily Report'!$AE$7:$AE$263, 'Cumulative Table'!$X$7:$X$265, 'Daily Report'!$N$7:$N$263)</f>
        <v>0</v>
      </c>
      <c r="S54" s="47">
        <f>SUMIF('Daily Report'!$AE$7:$AE$263, 'Cumulative Table'!$X$7:$X$265, 'Daily Report'!$O$7:$O$263)</f>
        <v>1</v>
      </c>
      <c r="T54" s="47">
        <f>SUMIF('Daily Report'!$AE$7:$AE$263, 'Cumulative Table'!$X$7:$X$201, 'Daily Report'!$P$7:$P$263)</f>
        <v>0</v>
      </c>
      <c r="U54" s="47">
        <f>SUMIF('Daily Report'!$AE$7:$AE$263,'Cumulative Table'!$X$7:$X$201,'Daily Report'!$Q$7:$Q$263)</f>
        <v>0</v>
      </c>
      <c r="V54" s="49"/>
      <c r="W54" s="50">
        <f t="shared" ca="1" si="10"/>
        <v>0.05</v>
      </c>
      <c r="X54" s="18" t="str">
        <f t="shared" si="11"/>
        <v>BR9071WH4L</v>
      </c>
    </row>
    <row r="55" spans="1:27" ht="15.75" thickBot="1">
      <c r="A55" s="268"/>
      <c r="B55" s="270"/>
      <c r="C55" s="270"/>
      <c r="D55" s="45" t="s">
        <v>161</v>
      </c>
      <c r="E55" s="19" t="s">
        <v>175</v>
      </c>
      <c r="F55" s="20"/>
      <c r="G55" s="14">
        <f ca="1">SUMIF('Daily Report'!$AD$7:$AD$263,'Cumulative Table'!$X$7:$X$201&amp;"KIEM",'Daily Report'!$H$7:$H$199)</f>
        <v>0</v>
      </c>
      <c r="H55" s="14">
        <f>SUMIF('Daily Report'!$AD$7:$AD$263,'Cumulative Table'!$X$7:$X$201&amp;"TAIKIEM",'Daily Report'!$H$7:$H$263)</f>
        <v>0</v>
      </c>
      <c r="I55" s="14">
        <f>SUMIF('Daily Report'!$AE$7:$AE$263,'Cumulative Table'!$X$7:$X$201,'Daily Report'!$I$7:$I$263)</f>
        <v>0</v>
      </c>
      <c r="J55" s="14">
        <f>SUMIF('Daily Report'!AE54:AE310,'Cumulative Table'!X55:X248,'Daily Report'!R54:R310)</f>
        <v>0</v>
      </c>
      <c r="K55" s="21"/>
      <c r="L55" s="19"/>
      <c r="M55" s="19"/>
      <c r="N55" s="22">
        <f t="shared" si="9"/>
        <v>0</v>
      </c>
      <c r="O55" s="46">
        <f>SUMIF('Daily Report'!$AE$7:$AE$263, 'Cumulative Table'!$X$7:$X$265,'Daily Report'!$K$7:$K$263)</f>
        <v>0</v>
      </c>
      <c r="P55" s="47">
        <f>SUMIF('Daily Report'!$AE$7:$AE$263,'Cumulative Table'!$X$7:$X$201,'Daily Report'!$L$7:$L$263)</f>
        <v>0</v>
      </c>
      <c r="Q55" s="47">
        <f>SUMIF('Daily Report'!$AE$7:$AE$263,'Cumulative Table'!$X$7:$X$201, 'Daily Report'!$M$7:$M$263)</f>
        <v>0</v>
      </c>
      <c r="R55" s="47">
        <f>SUMIF('Daily Report'!$AE$7:$AE$263, 'Cumulative Table'!$X$7:$X$265, 'Daily Report'!$N$7:$N$263)</f>
        <v>0</v>
      </c>
      <c r="S55" s="47">
        <f>SUMIF('Daily Report'!$AE$7:$AE$263, 'Cumulative Table'!$X$7:$X$265, 'Daily Report'!$O$7:$O$263)</f>
        <v>0</v>
      </c>
      <c r="T55" s="47">
        <f>SUMIF('Daily Report'!$AE$7:$AE$263, 'Cumulative Table'!$X$7:$X$201, 'Daily Report'!$P$7:$P$263)</f>
        <v>0</v>
      </c>
      <c r="U55" s="47">
        <f>SUMIF('Daily Report'!$AE$7:$AE$263,'Cumulative Table'!$X$7:$X$201,'Daily Report'!$Q$7:$Q$263)</f>
        <v>0</v>
      </c>
      <c r="V55" s="49"/>
      <c r="W55" s="50" t="e">
        <f t="shared" ca="1" si="10"/>
        <v>#DIV/0!</v>
      </c>
      <c r="X55" s="18" t="str">
        <f t="shared" si="11"/>
        <v>BR9071WH5L</v>
      </c>
    </row>
    <row r="56" spans="1:27" s="26" customFormat="1" ht="21.75" customHeight="1" thickBot="1">
      <c r="A56" s="271" t="s">
        <v>114</v>
      </c>
      <c r="B56" s="272"/>
      <c r="C56" s="272"/>
      <c r="D56" s="272"/>
      <c r="E56" s="273"/>
      <c r="F56" s="23">
        <f t="shared" ref="F56:W56" si="12">SUM(F48:F55)</f>
        <v>0</v>
      </c>
      <c r="G56" s="23">
        <f t="shared" ca="1" si="12"/>
        <v>475</v>
      </c>
      <c r="H56" s="25">
        <f t="shared" si="12"/>
        <v>44</v>
      </c>
      <c r="I56" s="35">
        <f t="shared" si="12"/>
        <v>475</v>
      </c>
      <c r="J56" s="23">
        <f t="shared" si="12"/>
        <v>0</v>
      </c>
      <c r="K56" s="24">
        <f t="shared" si="12"/>
        <v>0</v>
      </c>
      <c r="L56" s="24">
        <f t="shared" si="12"/>
        <v>0</v>
      </c>
      <c r="M56" s="23">
        <f t="shared" si="12"/>
        <v>0</v>
      </c>
      <c r="N56" s="25">
        <f t="shared" si="12"/>
        <v>0</v>
      </c>
      <c r="O56" s="25">
        <f t="shared" si="12"/>
        <v>0</v>
      </c>
      <c r="P56" s="25">
        <f t="shared" si="12"/>
        <v>0</v>
      </c>
      <c r="Q56" s="25">
        <f t="shared" si="12"/>
        <v>0</v>
      </c>
      <c r="R56" s="25">
        <f t="shared" si="12"/>
        <v>0</v>
      </c>
      <c r="S56" s="25">
        <f>SUM(S48:S55)</f>
        <v>35</v>
      </c>
      <c r="T56" s="25">
        <f t="shared" si="12"/>
        <v>9</v>
      </c>
      <c r="U56" s="25">
        <f t="shared" si="12"/>
        <v>0</v>
      </c>
      <c r="V56" s="25">
        <f t="shared" si="12"/>
        <v>0</v>
      </c>
      <c r="W56" s="36" t="e">
        <f t="shared" ca="1" si="12"/>
        <v>#DIV/0!</v>
      </c>
      <c r="X56" s="18"/>
    </row>
    <row r="57" spans="1:27">
      <c r="A57" s="274" t="s">
        <v>115</v>
      </c>
      <c r="B57" s="275"/>
      <c r="C57" s="51" t="s">
        <v>116</v>
      </c>
      <c r="D57" s="253" t="s">
        <v>117</v>
      </c>
      <c r="E57" s="253"/>
      <c r="F57" s="253"/>
      <c r="G57" s="254"/>
      <c r="H57" s="51" t="s">
        <v>118</v>
      </c>
      <c r="I57" s="278" t="s">
        <v>119</v>
      </c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80"/>
      <c r="X57" s="18"/>
    </row>
    <row r="58" spans="1:27">
      <c r="A58" s="249"/>
      <c r="B58" s="276"/>
      <c r="C58" s="52" t="s">
        <v>120</v>
      </c>
      <c r="D58" s="258" t="s">
        <v>121</v>
      </c>
      <c r="E58" s="258"/>
      <c r="F58" s="258"/>
      <c r="G58" s="259"/>
      <c r="H58" s="53" t="s">
        <v>122</v>
      </c>
      <c r="I58" s="281" t="s">
        <v>123</v>
      </c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3"/>
      <c r="X58" s="18"/>
    </row>
    <row r="59" spans="1:27" ht="15.75" thickBot="1">
      <c r="A59" s="249"/>
      <c r="B59" s="276"/>
      <c r="C59" s="53" t="s">
        <v>124</v>
      </c>
      <c r="D59" s="284" t="s">
        <v>125</v>
      </c>
      <c r="E59" s="284"/>
      <c r="F59" s="284"/>
      <c r="G59" s="285"/>
      <c r="H59" s="53" t="s">
        <v>126</v>
      </c>
      <c r="I59" s="286" t="s">
        <v>127</v>
      </c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8"/>
      <c r="X59" s="18"/>
      <c r="AA59" s="37"/>
    </row>
    <row r="60" spans="1:27" ht="15.75" thickBot="1">
      <c r="A60" s="251"/>
      <c r="B60" s="277"/>
      <c r="C60" s="55" t="s">
        <v>128</v>
      </c>
      <c r="D60" s="56"/>
      <c r="E60" s="56"/>
      <c r="F60" s="56"/>
      <c r="G60" s="56"/>
      <c r="H60" s="56"/>
      <c r="I60" s="57"/>
      <c r="J60" s="57"/>
      <c r="K60" s="57"/>
      <c r="L60" s="57"/>
      <c r="M60" s="57"/>
      <c r="N60" s="57"/>
      <c r="W60" s="34"/>
      <c r="X60" s="18"/>
    </row>
    <row r="61" spans="1:27">
      <c r="A61" s="247" t="s">
        <v>129</v>
      </c>
      <c r="B61" s="248"/>
      <c r="C61" s="27" t="s">
        <v>203</v>
      </c>
      <c r="D61" s="253" t="s">
        <v>130</v>
      </c>
      <c r="E61" s="253"/>
      <c r="F61" s="253"/>
      <c r="G61" s="254"/>
      <c r="H61" s="27" t="s">
        <v>131</v>
      </c>
      <c r="I61" s="255" t="s">
        <v>132</v>
      </c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7"/>
      <c r="X61" s="18"/>
    </row>
    <row r="62" spans="1:27">
      <c r="A62" s="249"/>
      <c r="B62" s="250"/>
      <c r="C62" s="28" t="s">
        <v>133</v>
      </c>
      <c r="D62" s="258" t="s">
        <v>134</v>
      </c>
      <c r="E62" s="258"/>
      <c r="F62" s="258"/>
      <c r="G62" s="259"/>
      <c r="H62" s="29" t="s">
        <v>135</v>
      </c>
      <c r="I62" s="255" t="s">
        <v>136</v>
      </c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7"/>
      <c r="X62" s="18"/>
    </row>
    <row r="63" spans="1:27">
      <c r="A63" s="249"/>
      <c r="B63" s="250"/>
      <c r="C63" s="29" t="s">
        <v>204</v>
      </c>
      <c r="D63" s="260" t="s">
        <v>137</v>
      </c>
      <c r="E63" s="260"/>
      <c r="F63" s="260"/>
      <c r="G63" s="261"/>
      <c r="H63" s="29" t="s">
        <v>138</v>
      </c>
      <c r="I63" s="255" t="s">
        <v>139</v>
      </c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7"/>
      <c r="X63" s="18"/>
    </row>
    <row r="64" spans="1:27" ht="15.75" thickBot="1">
      <c r="A64" s="251"/>
      <c r="B64" s="252"/>
      <c r="C64" s="262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18" t="str">
        <f>A64&amp;D64&amp;E64</f>
        <v/>
      </c>
    </row>
    <row r="65" spans="1:24" ht="18" customHeight="1" thickBot="1">
      <c r="A65" s="7" t="s">
        <v>189</v>
      </c>
      <c r="B65" s="8" t="s">
        <v>95</v>
      </c>
      <c r="C65" s="9" t="s">
        <v>190</v>
      </c>
      <c r="D65" s="10" t="s">
        <v>191</v>
      </c>
      <c r="E65" s="10" t="s">
        <v>192</v>
      </c>
      <c r="F65" s="10" t="s">
        <v>193</v>
      </c>
      <c r="G65" s="10" t="s">
        <v>194</v>
      </c>
      <c r="H65" s="10" t="s">
        <v>195</v>
      </c>
      <c r="I65" s="10" t="s">
        <v>196</v>
      </c>
      <c r="J65" s="10" t="s">
        <v>197</v>
      </c>
      <c r="K65" s="264" t="s">
        <v>198</v>
      </c>
      <c r="L65" s="265"/>
      <c r="M65" s="265"/>
      <c r="N65" s="266"/>
      <c r="O65" s="30" t="s">
        <v>140</v>
      </c>
      <c r="P65" s="30" t="s">
        <v>141</v>
      </c>
      <c r="Q65" s="31" t="s">
        <v>16</v>
      </c>
      <c r="R65" s="30" t="s">
        <v>142</v>
      </c>
      <c r="S65" s="30" t="s">
        <v>90</v>
      </c>
      <c r="T65" s="30" t="s">
        <v>18</v>
      </c>
      <c r="U65" s="30" t="s">
        <v>19</v>
      </c>
      <c r="V65" s="32" t="s">
        <v>20</v>
      </c>
      <c r="W65" s="33" t="s">
        <v>21</v>
      </c>
    </row>
    <row r="66" spans="1:24" ht="18" customHeight="1" thickBot="1">
      <c r="A66" s="7" t="s">
        <v>96</v>
      </c>
      <c r="B66" s="8" t="s">
        <v>97</v>
      </c>
      <c r="C66" s="9" t="s">
        <v>98</v>
      </c>
      <c r="D66" s="10" t="s">
        <v>99</v>
      </c>
      <c r="E66" s="10" t="s">
        <v>100</v>
      </c>
      <c r="F66" s="10" t="s">
        <v>101</v>
      </c>
      <c r="G66" s="10" t="s">
        <v>102</v>
      </c>
      <c r="H66" s="10" t="s">
        <v>103</v>
      </c>
      <c r="I66" s="10" t="s">
        <v>104</v>
      </c>
      <c r="J66" s="10" t="s">
        <v>104</v>
      </c>
      <c r="K66" s="264" t="s">
        <v>105</v>
      </c>
      <c r="L66" s="265"/>
      <c r="M66" s="265"/>
      <c r="N66" s="266"/>
      <c r="O66" s="30" t="s">
        <v>143</v>
      </c>
      <c r="P66" s="30" t="s">
        <v>144</v>
      </c>
      <c r="Q66" s="31" t="s">
        <v>145</v>
      </c>
      <c r="R66" s="30" t="s">
        <v>146</v>
      </c>
      <c r="S66" s="30" t="s">
        <v>147</v>
      </c>
      <c r="T66" s="30" t="s">
        <v>148</v>
      </c>
      <c r="U66" s="30" t="s">
        <v>149</v>
      </c>
      <c r="V66" s="32" t="s">
        <v>49</v>
      </c>
      <c r="W66" s="33" t="s">
        <v>150</v>
      </c>
    </row>
    <row r="67" spans="1:24" ht="18" customHeight="1" thickBot="1">
      <c r="A67" s="7" t="s">
        <v>106</v>
      </c>
      <c r="B67" s="8" t="s">
        <v>9</v>
      </c>
      <c r="C67" s="9" t="s">
        <v>107</v>
      </c>
      <c r="D67" s="10" t="s">
        <v>108</v>
      </c>
      <c r="E67" s="10" t="s">
        <v>100</v>
      </c>
      <c r="F67" s="10" t="s">
        <v>109</v>
      </c>
      <c r="G67" s="10" t="s">
        <v>199</v>
      </c>
      <c r="H67" s="10" t="s">
        <v>200</v>
      </c>
      <c r="I67" s="11" t="s">
        <v>201</v>
      </c>
      <c r="J67" s="11" t="s">
        <v>202</v>
      </c>
      <c r="K67" s="12" t="s">
        <v>110</v>
      </c>
      <c r="L67" s="10" t="s">
        <v>111</v>
      </c>
      <c r="M67" s="10" t="s">
        <v>112</v>
      </c>
      <c r="N67" s="13" t="s">
        <v>113</v>
      </c>
      <c r="O67" s="43" t="s">
        <v>151</v>
      </c>
      <c r="P67" s="43" t="s">
        <v>152</v>
      </c>
      <c r="Q67" s="43" t="s">
        <v>153</v>
      </c>
      <c r="R67" s="43" t="s">
        <v>154</v>
      </c>
      <c r="S67" s="43" t="s">
        <v>155</v>
      </c>
      <c r="T67" s="43" t="s">
        <v>156</v>
      </c>
      <c r="U67" s="43" t="s">
        <v>157</v>
      </c>
      <c r="V67" s="44" t="s">
        <v>78</v>
      </c>
      <c r="W67" s="43" t="s">
        <v>158</v>
      </c>
    </row>
    <row r="68" spans="1:24" ht="15.75" thickBot="1">
      <c r="A68" s="267" t="s">
        <v>168</v>
      </c>
      <c r="B68" s="269" t="str">
        <f>VLOOKUP($A$7,'Daily Report'!$C$7:$E$263,2,FALSE)</f>
        <v>GUA</v>
      </c>
      <c r="C68" s="269" t="str">
        <f>VLOOKUP($A$7,'Daily Report'!$C$7:$E$263,3,FALSE)</f>
        <v>SHIRT</v>
      </c>
      <c r="D68" s="45" t="s">
        <v>161</v>
      </c>
      <c r="E68" s="14" t="s">
        <v>174</v>
      </c>
      <c r="F68" s="15"/>
      <c r="G68" s="14">
        <f ca="1">SUMIF('Daily Report'!$AD$7:$AD$263,'Cumulative Table'!$X$7:$X$201&amp;"KIEM",'Daily Report'!$H$7:$H$199)</f>
        <v>0</v>
      </c>
      <c r="H68" s="14">
        <f>SUMIF('Daily Report'!$AD$7:$AD$263,'Cumulative Table'!$X$7:$X$201&amp;"TAIKIEM",'Daily Report'!$H$7:$H$263)</f>
        <v>0</v>
      </c>
      <c r="I68" s="14">
        <f>SUMIF('Daily Report'!$AE$7:$AE$263,'Cumulative Table'!$X$7:$X$201,'Daily Report'!$I$7:$I$263)</f>
        <v>0</v>
      </c>
      <c r="J68" s="14">
        <f>SUMIF('Daily Report'!AE67:AE323,'Cumulative Table'!X68:X261,'Daily Report'!R67:R323)</f>
        <v>0</v>
      </c>
      <c r="K68" s="16"/>
      <c r="L68" s="14"/>
      <c r="M68" s="14"/>
      <c r="N68" s="17">
        <f t="shared" ref="N68:N75" si="13">SUM(K68:M68)</f>
        <v>0</v>
      </c>
      <c r="O68" s="46">
        <f>SUMIF('Daily Report'!AE47:AE239,'Cumulative Table'!X48:X241,'Daily Report'!K47:K239)</f>
        <v>0</v>
      </c>
      <c r="P68" s="47">
        <f>SUMIF('Daily Report'!$AE$7:$AE$263,'Cumulative Table'!$X$7:$X$201,'Daily Report'!$L$7:$L$263)</f>
        <v>0</v>
      </c>
      <c r="Q68" s="47">
        <f>SUMIF('Daily Report'!$AE$7:$AE$263,'Cumulative Table'!$X$7:$X$201,'Daily Report'!$M$7:$M$263)</f>
        <v>0</v>
      </c>
      <c r="R68" s="47">
        <f>SUMIF('Daily Report'!$AE$7:$AE$263,'Cumulative Table'!$X$7:$X$201,'Daily Report'!$N$7:$N$263)</f>
        <v>0</v>
      </c>
      <c r="S68" s="47">
        <f>SUMIF('Daily Report'!$AE$7:$AE$263,'Cumulative Table'!$X$7:$X$201,'Daily Report'!$O$7:$O$263)</f>
        <v>0</v>
      </c>
      <c r="T68" s="47">
        <f>SUMIF('Daily Report'!$AE$7:$AE$263,'Cumulative Table'!$X$8:$X$201,'Daily Report'!$P$7:$P$263)</f>
        <v>0</v>
      </c>
      <c r="U68" s="47">
        <f>SUMIF('Daily Report'!$AE$7:$AE$263,'Cumulative Table'!$X$7:$X$201,'Daily Report'!$Q$7:$Q$263)</f>
        <v>0</v>
      </c>
      <c r="V68" s="47"/>
      <c r="W68" s="48" t="e">
        <f t="shared" ref="W68:W76" ca="1" si="14">H68/G68</f>
        <v>#DIV/0!</v>
      </c>
      <c r="X68" s="18" t="str">
        <f t="shared" ref="X68:X75" si="15">$A$68&amp;D68&amp;E68</f>
        <v>BR9070WHSS</v>
      </c>
    </row>
    <row r="69" spans="1:24" ht="15.75" thickBot="1">
      <c r="A69" s="268"/>
      <c r="B69" s="270"/>
      <c r="C69" s="270"/>
      <c r="D69" s="45" t="s">
        <v>161</v>
      </c>
      <c r="E69" s="19" t="s">
        <v>169</v>
      </c>
      <c r="F69" s="20"/>
      <c r="G69" s="14">
        <f ca="1">SUMIF('Daily Report'!$AD$7:$AD$263,'Cumulative Table'!$X$7:$X$201&amp;"KIEM",'Daily Report'!$H$7:$H$199)</f>
        <v>2</v>
      </c>
      <c r="H69" s="14">
        <f>SUMIF('Daily Report'!$AD$7:$AD$263,'Cumulative Table'!$X$7:$X$201&amp;"TAIKIEM",'Daily Report'!$H$7:$H$263)</f>
        <v>0</v>
      </c>
      <c r="I69" s="14">
        <f>SUMIF('Daily Report'!$AE$7:$AE$263,'Cumulative Table'!$X$7:$X$201,'Daily Report'!$I$7:$I$263)</f>
        <v>2</v>
      </c>
      <c r="J69" s="14">
        <f>SUMIF('Daily Report'!AE68:AE324,'Cumulative Table'!X69:X262,'Daily Report'!R68:R324)</f>
        <v>0</v>
      </c>
      <c r="K69" s="21"/>
      <c r="L69" s="19"/>
      <c r="M69" s="19"/>
      <c r="N69" s="22">
        <f t="shared" si="13"/>
        <v>0</v>
      </c>
      <c r="O69" s="46">
        <f>SUMIF('Daily Report'!AE48:AE240,'Cumulative Table'!X49:X242,'Daily Report'!K48:K240)</f>
        <v>0</v>
      </c>
      <c r="P69" s="47">
        <f>SUMIF('Daily Report'!$AE$7:$AE$263,'Cumulative Table'!$X$7:$X$201,'Daily Report'!$L$7:$L$263)</f>
        <v>0</v>
      </c>
      <c r="Q69" s="47">
        <f>SUMIF('Daily Report'!$AE$7:$AE$263,'Cumulative Table'!$X$7:$X$201,'Daily Report'!$M$7:$M$263)</f>
        <v>0</v>
      </c>
      <c r="R69" s="47">
        <f>SUMIF('Daily Report'!$AE$7:$AE$263,'Cumulative Table'!$X$7:$X$201,'Daily Report'!$N$7:$N$263)</f>
        <v>0</v>
      </c>
      <c r="S69" s="47">
        <f>SUMIF('Daily Report'!$AE$7:$AE$263,'Cumulative Table'!$X$7:$X$201,'Daily Report'!$O$7:$O$263)</f>
        <v>0</v>
      </c>
      <c r="T69" s="47">
        <f>SUMIF('Daily Report'!$AE$7:$AE$263,'Cumulative Table'!$X$8:$X$201,'Daily Report'!$P$7:$P$263)</f>
        <v>0</v>
      </c>
      <c r="U69" s="47">
        <f>SUMIF('Daily Report'!$AE$7:$AE$263,'Cumulative Table'!$X$7:$X$201,'Daily Report'!$Q$7:$Q$263)</f>
        <v>0</v>
      </c>
      <c r="V69" s="49"/>
      <c r="W69" s="50">
        <f t="shared" ca="1" si="14"/>
        <v>0</v>
      </c>
      <c r="X69" s="18" t="str">
        <f t="shared" si="15"/>
        <v>BR9070WHS</v>
      </c>
    </row>
    <row r="70" spans="1:24" ht="15.75" thickBot="1">
      <c r="A70" s="268"/>
      <c r="B70" s="270"/>
      <c r="C70" s="270"/>
      <c r="D70" s="45" t="s">
        <v>161</v>
      </c>
      <c r="E70" s="19" t="s">
        <v>166</v>
      </c>
      <c r="F70" s="20"/>
      <c r="G70" s="14">
        <f ca="1">SUMIF('Daily Report'!$AD$7:$AD$263,'Cumulative Table'!$X$7:$X$201&amp;"KIEM",'Daily Report'!$H$7:$H$199)</f>
        <v>2</v>
      </c>
      <c r="H70" s="14">
        <f>SUMIF('Daily Report'!$AD$7:$AD$263,'Cumulative Table'!$X$7:$X$201&amp;"TAIKIEM",'Daily Report'!$H$7:$H$263)</f>
        <v>0</v>
      </c>
      <c r="I70" s="14">
        <f>SUMIF('Daily Report'!$AE$7:$AE$263,'Cumulative Table'!$X$7:$X$201,'Daily Report'!$I$7:$I$263)</f>
        <v>2</v>
      </c>
      <c r="J70" s="14">
        <f>SUMIF('Daily Report'!AE69:AE325,'Cumulative Table'!X70:X263,'Daily Report'!R69:R325)</f>
        <v>0</v>
      </c>
      <c r="K70" s="21"/>
      <c r="L70" s="19"/>
      <c r="M70" s="19"/>
      <c r="N70" s="22">
        <f t="shared" si="13"/>
        <v>0</v>
      </c>
      <c r="O70" s="46">
        <f>SUMIF('Daily Report'!AE49:AE241,'Cumulative Table'!X50:X243,'Daily Report'!K49:K241)</f>
        <v>0</v>
      </c>
      <c r="P70" s="47">
        <f>SUMIF('Daily Report'!$AE$7:$AE$263,'Cumulative Table'!$X$7:$X$201,'Daily Report'!$L$7:$L$263)</f>
        <v>0</v>
      </c>
      <c r="Q70" s="47">
        <f>SUMIF('Daily Report'!$AE$7:$AE$263,'Cumulative Table'!$X$7:$X$201,'Daily Report'!$M$7:$M$263)</f>
        <v>0</v>
      </c>
      <c r="R70" s="47">
        <f>SUMIF('Daily Report'!$AE$7:$AE$263,'Cumulative Table'!$X$7:$X$201,'Daily Report'!$N$7:$N$263)</f>
        <v>0</v>
      </c>
      <c r="S70" s="47">
        <f>SUMIF('Daily Report'!$AE$7:$AE$263,'Cumulative Table'!$X$7:$X$201,'Daily Report'!$O$7:$O$263)</f>
        <v>0</v>
      </c>
      <c r="T70" s="47">
        <f>SUMIF('Daily Report'!$AE$7:$AE$263,'Cumulative Table'!$X$8:$X$201,'Daily Report'!$P$7:$P$263)</f>
        <v>0</v>
      </c>
      <c r="U70" s="47">
        <f>SUMIF('Daily Report'!$AE$7:$AE$263,'Cumulative Table'!$X$7:$X$201,'Daily Report'!$Q$7:$Q$263)</f>
        <v>0</v>
      </c>
      <c r="V70" s="49"/>
      <c r="W70" s="50">
        <f t="shared" ca="1" si="14"/>
        <v>0</v>
      </c>
      <c r="X70" s="18" t="str">
        <f t="shared" si="15"/>
        <v>BR9070WHM</v>
      </c>
    </row>
    <row r="71" spans="1:24" ht="15.75" thickBot="1">
      <c r="A71" s="268"/>
      <c r="B71" s="270"/>
      <c r="C71" s="270"/>
      <c r="D71" s="45" t="s">
        <v>161</v>
      </c>
      <c r="E71" s="19" t="s">
        <v>162</v>
      </c>
      <c r="F71" s="20"/>
      <c r="G71" s="14">
        <f ca="1">SUMIF('Daily Report'!$AD$7:$AD$263,'Cumulative Table'!$X$7:$X$201&amp;"KIEM",'Daily Report'!$H$7:$H$199)</f>
        <v>0</v>
      </c>
      <c r="H71" s="14">
        <f>SUMIF('Daily Report'!$AD$7:$AD$263,'Cumulative Table'!$X$7:$X$201&amp;"TAIKIEM",'Daily Report'!$H$7:$H$263)</f>
        <v>0</v>
      </c>
      <c r="I71" s="14">
        <f>SUMIF('Daily Report'!$AE$7:$AE$263,'Cumulative Table'!$X$7:$X$201,'Daily Report'!$I$7:$I$263)</f>
        <v>0</v>
      </c>
      <c r="J71" s="14">
        <f>SUMIF('Daily Report'!AE70:AE326,'Cumulative Table'!X71:X264,'Daily Report'!R70:R326)</f>
        <v>0</v>
      </c>
      <c r="K71" s="21"/>
      <c r="L71" s="19"/>
      <c r="M71" s="19"/>
      <c r="N71" s="22">
        <f t="shared" si="13"/>
        <v>0</v>
      </c>
      <c r="O71" s="46">
        <f>SUMIF('Daily Report'!AE50:AE242,'Cumulative Table'!X51:X244,'Daily Report'!K50:K242)</f>
        <v>0</v>
      </c>
      <c r="P71" s="47">
        <f>SUMIF('Daily Report'!$AE$7:$AE$263,'Cumulative Table'!$X$7:$X$201,'Daily Report'!$L$7:$L$263)</f>
        <v>0</v>
      </c>
      <c r="Q71" s="47">
        <f>SUMIF('Daily Report'!$AE$7:$AE$263,'Cumulative Table'!$X$7:$X$201,'Daily Report'!$M$7:$M$263)</f>
        <v>0</v>
      </c>
      <c r="R71" s="47">
        <f>SUMIF('Daily Report'!$AE$7:$AE$263,'Cumulative Table'!$X$7:$X$201,'Daily Report'!$N$7:$N$263)</f>
        <v>0</v>
      </c>
      <c r="S71" s="47">
        <f>SUMIF('Daily Report'!$AE$7:$AE$263,'Cumulative Table'!$X$7:$X$201,'Daily Report'!$O$7:$O$263)</f>
        <v>0</v>
      </c>
      <c r="T71" s="47">
        <f>SUMIF('Daily Report'!$AE$7:$AE$263,'Cumulative Table'!$X$8:$X$201,'Daily Report'!$P$7:$P$263)</f>
        <v>0</v>
      </c>
      <c r="U71" s="47">
        <f>SUMIF('Daily Report'!$AE$7:$AE$263,'Cumulative Table'!$X$7:$X$201,'Daily Report'!$Q$7:$Q$263)</f>
        <v>0</v>
      </c>
      <c r="V71" s="49"/>
      <c r="W71" s="50" t="e">
        <f t="shared" ca="1" si="14"/>
        <v>#DIV/0!</v>
      </c>
      <c r="X71" s="18" t="str">
        <f t="shared" si="15"/>
        <v>BR9070WHL</v>
      </c>
    </row>
    <row r="72" spans="1:24" ht="15.75" thickBot="1">
      <c r="A72" s="268"/>
      <c r="B72" s="270"/>
      <c r="C72" s="270"/>
      <c r="D72" s="45" t="s">
        <v>161</v>
      </c>
      <c r="E72" s="19" t="s">
        <v>164</v>
      </c>
      <c r="F72" s="20"/>
      <c r="G72" s="14">
        <f ca="1">SUMIF('Daily Report'!$AD$7:$AD$263,'Cumulative Table'!$X$7:$X$201&amp;"KIEM",'Daily Report'!$H$7:$H$199)</f>
        <v>1</v>
      </c>
      <c r="H72" s="14">
        <f>SUMIF('Daily Report'!$AD$7:$AD$263,'Cumulative Table'!$X$7:$X$201&amp;"TAIKIEM",'Daily Report'!$H$7:$H$263)</f>
        <v>0</v>
      </c>
      <c r="I72" s="14">
        <f>SUMIF('Daily Report'!$AE$7:$AE$263,'Cumulative Table'!$X$7:$X$201,'Daily Report'!$I$7:$I$263)</f>
        <v>1</v>
      </c>
      <c r="J72" s="14">
        <f>SUMIF('Daily Report'!AE71:AE327,'Cumulative Table'!X72:X265,'Daily Report'!R71:R327)</f>
        <v>0</v>
      </c>
      <c r="K72" s="21"/>
      <c r="L72" s="19"/>
      <c r="M72" s="19"/>
      <c r="N72" s="22">
        <f t="shared" si="13"/>
        <v>0</v>
      </c>
      <c r="O72" s="46">
        <f>SUMIF('Daily Report'!AE51:AE243,'Cumulative Table'!X52:X245,'Daily Report'!K51:K243)</f>
        <v>0</v>
      </c>
      <c r="P72" s="47">
        <f>SUMIF('Daily Report'!$AE$7:$AE$263,'Cumulative Table'!$X$7:$X$201,'Daily Report'!$L$7:$L$263)</f>
        <v>0</v>
      </c>
      <c r="Q72" s="47">
        <f>SUMIF('Daily Report'!$AE$7:$AE$263,'Cumulative Table'!$X$7:$X$201,'Daily Report'!$M$7:$M$263)</f>
        <v>0</v>
      </c>
      <c r="R72" s="47">
        <f>SUMIF('Daily Report'!$AE$7:$AE$263,'Cumulative Table'!$X$7:$X$201,'Daily Report'!$N$7:$N$263)</f>
        <v>0</v>
      </c>
      <c r="S72" s="47">
        <f>SUMIF('Daily Report'!$AE$7:$AE$263,'Cumulative Table'!$X$7:$X$201,'Daily Report'!$O$7:$O$263)</f>
        <v>0</v>
      </c>
      <c r="T72" s="47">
        <f>SUMIF('Daily Report'!$AE$7:$AE$263,'Cumulative Table'!$X$8:$X$201,'Daily Report'!$P$7:$P$263)</f>
        <v>0</v>
      </c>
      <c r="U72" s="47">
        <f>SUMIF('Daily Report'!$AE$7:$AE$263,'Cumulative Table'!$X$7:$X$201,'Daily Report'!$Q$7:$Q$263)</f>
        <v>0</v>
      </c>
      <c r="V72" s="49"/>
      <c r="W72" s="50">
        <f t="shared" ca="1" si="14"/>
        <v>0</v>
      </c>
      <c r="X72" s="18" t="str">
        <f t="shared" si="15"/>
        <v>BR9070WHLL</v>
      </c>
    </row>
    <row r="73" spans="1:24" ht="15.75" thickBot="1">
      <c r="A73" s="268"/>
      <c r="B73" s="270"/>
      <c r="C73" s="270"/>
      <c r="D73" s="45" t="s">
        <v>161</v>
      </c>
      <c r="E73" s="19" t="s">
        <v>177</v>
      </c>
      <c r="F73" s="20"/>
      <c r="G73" s="14">
        <f ca="1">SUMIF('Daily Report'!$AD$7:$AD$263,'Cumulative Table'!$X$7:$X$201&amp;"KIEM",'Daily Report'!$H$7:$H$199)</f>
        <v>0</v>
      </c>
      <c r="H73" s="14">
        <f>SUMIF('Daily Report'!$AD$7:$AD$263,'Cumulative Table'!$X$7:$X$201&amp;"TAIKIEM",'Daily Report'!$H$7:$H$263)</f>
        <v>0</v>
      </c>
      <c r="I73" s="14">
        <f>SUMIF('Daily Report'!$AE$7:$AE$263,'Cumulative Table'!$X$7:$X$201,'Daily Report'!$I$7:$I$263)</f>
        <v>0</v>
      </c>
      <c r="J73" s="14">
        <f>SUMIF('Daily Report'!AE72:AE328,'Cumulative Table'!X73:X266,'Daily Report'!R72:R328)</f>
        <v>0</v>
      </c>
      <c r="K73" s="21"/>
      <c r="L73" s="19"/>
      <c r="M73" s="19"/>
      <c r="N73" s="22">
        <f t="shared" si="13"/>
        <v>0</v>
      </c>
      <c r="O73" s="46">
        <f>SUMIF('Daily Report'!AE52:AE244,'Cumulative Table'!X53:X246,'Daily Report'!K52:K244)</f>
        <v>0</v>
      </c>
      <c r="P73" s="47">
        <f>SUMIF('Daily Report'!$AE$7:$AE$263,'Cumulative Table'!$X$7:$X$201,'Daily Report'!$L$7:$L$263)</f>
        <v>0</v>
      </c>
      <c r="Q73" s="47">
        <f>SUMIF('Daily Report'!$AE$7:$AE$263,'Cumulative Table'!$X$7:$X$201,'Daily Report'!$M$7:$M$263)</f>
        <v>0</v>
      </c>
      <c r="R73" s="47">
        <f>SUMIF('Daily Report'!$AE$7:$AE$263,'Cumulative Table'!$X$7:$X$201,'Daily Report'!$N$7:$N$263)</f>
        <v>0</v>
      </c>
      <c r="S73" s="47">
        <f>SUMIF('Daily Report'!$AE$7:$AE$263,'Cumulative Table'!$X$7:$X$201,'Daily Report'!$O$7:$O$263)</f>
        <v>0</v>
      </c>
      <c r="T73" s="47">
        <f>SUMIF('Daily Report'!$AE$7:$AE$263,'Cumulative Table'!$X$8:$X$201,'Daily Report'!$P$7:$P$263)</f>
        <v>0</v>
      </c>
      <c r="U73" s="47">
        <f>SUMIF('Daily Report'!$AE$7:$AE$263,'Cumulative Table'!$X$7:$X$201,'Daily Report'!$Q$7:$Q$263)</f>
        <v>0</v>
      </c>
      <c r="V73" s="49"/>
      <c r="W73" s="50" t="e">
        <f t="shared" ca="1" si="14"/>
        <v>#DIV/0!</v>
      </c>
      <c r="X73" s="18" t="str">
        <f t="shared" si="15"/>
        <v>BR9070WHBL</v>
      </c>
    </row>
    <row r="74" spans="1:24" ht="15.75" thickBot="1">
      <c r="A74" s="268"/>
      <c r="B74" s="270"/>
      <c r="C74" s="270"/>
      <c r="D74" s="45" t="s">
        <v>161</v>
      </c>
      <c r="E74" s="19" t="s">
        <v>173</v>
      </c>
      <c r="F74" s="20"/>
      <c r="G74" s="14">
        <f ca="1">SUMIF('Daily Report'!$AD$7:$AD$263,'Cumulative Table'!$X$7:$X$201&amp;"KIEM",'Daily Report'!$H$7:$H$199)</f>
        <v>0</v>
      </c>
      <c r="H74" s="14">
        <f>SUMIF('Daily Report'!$AD$7:$AD$263,'Cumulative Table'!$X$7:$X$201&amp;"TAIKIEM",'Daily Report'!$H$7:$H$263)</f>
        <v>0</v>
      </c>
      <c r="I74" s="14">
        <f>SUMIF('Daily Report'!$AE$7:$AE$263,'Cumulative Table'!$X$7:$X$201,'Daily Report'!$I$7:$I$263)</f>
        <v>0</v>
      </c>
      <c r="J74" s="14">
        <f>SUMIF('Daily Report'!AE73:AE329,'Cumulative Table'!X74:X267,'Daily Report'!R73:R329)</f>
        <v>0</v>
      </c>
      <c r="K74" s="21"/>
      <c r="L74" s="19"/>
      <c r="M74" s="19"/>
      <c r="N74" s="22">
        <f t="shared" si="13"/>
        <v>0</v>
      </c>
      <c r="O74" s="46">
        <f>SUMIF('Daily Report'!AE53:AE245,'Cumulative Table'!X54:X247,'Daily Report'!K53:K245)</f>
        <v>0</v>
      </c>
      <c r="P74" s="47">
        <f>SUMIF('Daily Report'!$AE$7:$AE$263,'Cumulative Table'!$X$7:$X$201,'Daily Report'!$L$7:$L$263)</f>
        <v>0</v>
      </c>
      <c r="Q74" s="47">
        <f>SUMIF('Daily Report'!$AE$7:$AE$263,'Cumulative Table'!$X$7:$X$201,'Daily Report'!$M$7:$M$263)</f>
        <v>0</v>
      </c>
      <c r="R74" s="47">
        <f>SUMIF('Daily Report'!$AE$7:$AE$263,'Cumulative Table'!$X$7:$X$201,'Daily Report'!$N$7:$N$263)</f>
        <v>0</v>
      </c>
      <c r="S74" s="47">
        <f>SUMIF('Daily Report'!$AE$7:$AE$263,'Cumulative Table'!$X$7:$X$201,'Daily Report'!$O$7:$O$263)</f>
        <v>0</v>
      </c>
      <c r="T74" s="47">
        <f>SUMIF('Daily Report'!$AE$7:$AE$263,'Cumulative Table'!$X$8:$X$201,'Daily Report'!$P$7:$P$263)</f>
        <v>0</v>
      </c>
      <c r="U74" s="47">
        <f>SUMIF('Daily Report'!$AE$7:$AE$263,'Cumulative Table'!$X$7:$X$201,'Daily Report'!$Q$7:$Q$263)</f>
        <v>0</v>
      </c>
      <c r="V74" s="49"/>
      <c r="W74" s="50" t="e">
        <f t="shared" ca="1" si="14"/>
        <v>#DIV/0!</v>
      </c>
      <c r="X74" s="18" t="str">
        <f t="shared" si="15"/>
        <v>BR9070WH4L</v>
      </c>
    </row>
    <row r="75" spans="1:24" ht="15.75" thickBot="1">
      <c r="A75" s="268"/>
      <c r="B75" s="270"/>
      <c r="C75" s="270"/>
      <c r="D75" s="45" t="s">
        <v>161</v>
      </c>
      <c r="E75" s="19" t="s">
        <v>175</v>
      </c>
      <c r="F75" s="20"/>
      <c r="G75" s="14">
        <f ca="1">SUMIF('Daily Report'!$AD$7:$AD$263,'Cumulative Table'!$X$7:$X$201&amp;"KIEM",'Daily Report'!$H$7:$H$199)</f>
        <v>0</v>
      </c>
      <c r="H75" s="14">
        <f>SUMIF('Daily Report'!$AD$7:$AD$263,'Cumulative Table'!$X$7:$X$201&amp;"TAIKIEM",'Daily Report'!$H$7:$H$263)</f>
        <v>0</v>
      </c>
      <c r="I75" s="14">
        <f>SUMIF('Daily Report'!$AE$7:$AE$263,'Cumulative Table'!$X$7:$X$201,'Daily Report'!$I$7:$I$263)</f>
        <v>0</v>
      </c>
      <c r="J75" s="14">
        <f>SUMIF('Daily Report'!AE74:AE330,'Cumulative Table'!X75:X268,'Daily Report'!R74:R330)</f>
        <v>0</v>
      </c>
      <c r="K75" s="21"/>
      <c r="L75" s="19"/>
      <c r="M75" s="19"/>
      <c r="N75" s="22">
        <f t="shared" si="13"/>
        <v>0</v>
      </c>
      <c r="O75" s="46">
        <f>SUMIF('Daily Report'!AE54:AE246,'Cumulative Table'!X55:X248,'Daily Report'!K54:K246)</f>
        <v>0</v>
      </c>
      <c r="P75" s="47">
        <f>SUMIF('Daily Report'!$AE$7:$AE$263,'Cumulative Table'!$X$7:$X$201,'Daily Report'!$L$7:$L$263)</f>
        <v>0</v>
      </c>
      <c r="Q75" s="47">
        <f>SUMIF('Daily Report'!$AE$7:$AE$263,'Cumulative Table'!$X$7:$X$201,'Daily Report'!$M$7:$M$263)</f>
        <v>0</v>
      </c>
      <c r="R75" s="47">
        <f>SUMIF('Daily Report'!$AE$7:$AE$263,'Cumulative Table'!$X$7:$X$201,'Daily Report'!$N$7:$N$263)</f>
        <v>0</v>
      </c>
      <c r="S75" s="47">
        <f>SUMIF('Daily Report'!$AE$7:$AE$263,'Cumulative Table'!$X$7:$X$201,'Daily Report'!$O$7:$O$263)</f>
        <v>0</v>
      </c>
      <c r="T75" s="47">
        <f>SUMIF('Daily Report'!$AE$7:$AE$263,'Cumulative Table'!$X$8:$X$201,'Daily Report'!$P$7:$P$263)</f>
        <v>0</v>
      </c>
      <c r="U75" s="47">
        <f>SUMIF('Daily Report'!$AE$7:$AE$263,'Cumulative Table'!$X$7:$X$201,'Daily Report'!$Q$7:$Q$263)</f>
        <v>0</v>
      </c>
      <c r="V75" s="49"/>
      <c r="W75" s="50" t="e">
        <f t="shared" ca="1" si="14"/>
        <v>#DIV/0!</v>
      </c>
      <c r="X75" s="18" t="str">
        <f t="shared" si="15"/>
        <v>BR9070WH5L</v>
      </c>
    </row>
    <row r="76" spans="1:24" s="26" customFormat="1" ht="21.75" customHeight="1" thickBot="1">
      <c r="A76" s="271" t="s">
        <v>114</v>
      </c>
      <c r="B76" s="272"/>
      <c r="C76" s="272"/>
      <c r="D76" s="272"/>
      <c r="E76" s="273"/>
      <c r="F76" s="23">
        <f t="shared" ref="F76:V76" si="16">SUM(F68:F75)</f>
        <v>0</v>
      </c>
      <c r="G76" s="23">
        <f t="shared" ca="1" si="16"/>
        <v>5</v>
      </c>
      <c r="H76" s="25">
        <f t="shared" si="16"/>
        <v>0</v>
      </c>
      <c r="I76" s="35">
        <f t="shared" si="16"/>
        <v>5</v>
      </c>
      <c r="J76" s="23">
        <f t="shared" si="16"/>
        <v>0</v>
      </c>
      <c r="K76" s="24">
        <f t="shared" si="16"/>
        <v>0</v>
      </c>
      <c r="L76" s="24">
        <f t="shared" si="16"/>
        <v>0</v>
      </c>
      <c r="M76" s="23">
        <f t="shared" si="16"/>
        <v>0</v>
      </c>
      <c r="N76" s="25">
        <f t="shared" si="16"/>
        <v>0</v>
      </c>
      <c r="O76" s="25">
        <f t="shared" si="16"/>
        <v>0</v>
      </c>
      <c r="P76" s="25">
        <f t="shared" si="16"/>
        <v>0</v>
      </c>
      <c r="Q76" s="25">
        <f t="shared" si="16"/>
        <v>0</v>
      </c>
      <c r="R76" s="25">
        <f t="shared" si="16"/>
        <v>0</v>
      </c>
      <c r="S76" s="25">
        <f t="shared" si="16"/>
        <v>0</v>
      </c>
      <c r="T76" s="25">
        <f t="shared" si="16"/>
        <v>0</v>
      </c>
      <c r="U76" s="25">
        <f t="shared" si="16"/>
        <v>0</v>
      </c>
      <c r="V76" s="25">
        <f t="shared" si="16"/>
        <v>0</v>
      </c>
      <c r="W76" s="36">
        <f t="shared" ca="1" si="14"/>
        <v>0</v>
      </c>
      <c r="X76" s="18"/>
    </row>
    <row r="77" spans="1:24">
      <c r="A77" s="274" t="s">
        <v>115</v>
      </c>
      <c r="B77" s="275"/>
      <c r="C77" s="51" t="s">
        <v>116</v>
      </c>
      <c r="D77" s="253" t="s">
        <v>117</v>
      </c>
      <c r="E77" s="253"/>
      <c r="F77" s="253"/>
      <c r="G77" s="254"/>
      <c r="H77" s="51" t="s">
        <v>118</v>
      </c>
      <c r="I77" s="278" t="s">
        <v>119</v>
      </c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80"/>
      <c r="X77" s="18"/>
    </row>
    <row r="78" spans="1:24">
      <c r="A78" s="249"/>
      <c r="B78" s="276"/>
      <c r="C78" s="52" t="s">
        <v>120</v>
      </c>
      <c r="D78" s="258" t="s">
        <v>121</v>
      </c>
      <c r="E78" s="258"/>
      <c r="F78" s="258"/>
      <c r="G78" s="259"/>
      <c r="H78" s="53" t="s">
        <v>122</v>
      </c>
      <c r="I78" s="281" t="s">
        <v>123</v>
      </c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3"/>
      <c r="X78" s="18"/>
    </row>
    <row r="79" spans="1:24" ht="15.75" thickBot="1">
      <c r="A79" s="249"/>
      <c r="B79" s="276"/>
      <c r="C79" s="53" t="s">
        <v>124</v>
      </c>
      <c r="D79" s="284" t="s">
        <v>125</v>
      </c>
      <c r="E79" s="284"/>
      <c r="F79" s="284"/>
      <c r="G79" s="285"/>
      <c r="H79" s="53" t="s">
        <v>126</v>
      </c>
      <c r="I79" s="286" t="s">
        <v>127</v>
      </c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8"/>
      <c r="X79" s="18"/>
    </row>
    <row r="80" spans="1:24" ht="15.75" thickBot="1">
      <c r="A80" s="251"/>
      <c r="B80" s="277"/>
      <c r="C80" s="55" t="s">
        <v>128</v>
      </c>
      <c r="D80" s="56"/>
      <c r="E80" s="56"/>
      <c r="F80" s="56"/>
      <c r="G80" s="56"/>
      <c r="H80" s="56"/>
      <c r="I80" s="57"/>
      <c r="J80" s="57"/>
      <c r="K80" s="57"/>
      <c r="L80" s="57"/>
      <c r="M80" s="57"/>
      <c r="N80" s="57"/>
      <c r="W80" s="34"/>
      <c r="X80" s="18"/>
    </row>
    <row r="81" spans="1:24">
      <c r="A81" s="247" t="s">
        <v>129</v>
      </c>
      <c r="B81" s="248"/>
      <c r="C81" s="27" t="s">
        <v>203</v>
      </c>
      <c r="D81" s="253" t="s">
        <v>130</v>
      </c>
      <c r="E81" s="253"/>
      <c r="F81" s="253"/>
      <c r="G81" s="254"/>
      <c r="H81" s="27" t="s">
        <v>131</v>
      </c>
      <c r="I81" s="255" t="s">
        <v>132</v>
      </c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7"/>
      <c r="X81" s="18"/>
    </row>
    <row r="82" spans="1:24">
      <c r="A82" s="249"/>
      <c r="B82" s="250"/>
      <c r="C82" s="28" t="s">
        <v>133</v>
      </c>
      <c r="D82" s="258" t="s">
        <v>134</v>
      </c>
      <c r="E82" s="258"/>
      <c r="F82" s="258"/>
      <c r="G82" s="259"/>
      <c r="H82" s="29" t="s">
        <v>135</v>
      </c>
      <c r="I82" s="255" t="s">
        <v>136</v>
      </c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7"/>
      <c r="X82" s="18"/>
    </row>
    <row r="83" spans="1:24">
      <c r="A83" s="249"/>
      <c r="B83" s="250"/>
      <c r="C83" s="29" t="s">
        <v>204</v>
      </c>
      <c r="D83" s="260" t="s">
        <v>137</v>
      </c>
      <c r="E83" s="260"/>
      <c r="F83" s="260"/>
      <c r="G83" s="261"/>
      <c r="H83" s="29" t="s">
        <v>138</v>
      </c>
      <c r="I83" s="255" t="s">
        <v>139</v>
      </c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7"/>
      <c r="X83" s="18"/>
    </row>
    <row r="84" spans="1:24" ht="15.75" thickBot="1">
      <c r="A84" s="251"/>
      <c r="B84" s="252"/>
      <c r="C84" s="262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18" t="str">
        <f>A84&amp;D84&amp;E84</f>
        <v/>
      </c>
    </row>
    <row r="85" spans="1:24" ht="18" customHeight="1" thickBot="1">
      <c r="A85" s="7" t="s">
        <v>189</v>
      </c>
      <c r="B85" s="8" t="s">
        <v>95</v>
      </c>
      <c r="C85" s="9" t="s">
        <v>190</v>
      </c>
      <c r="D85" s="10" t="s">
        <v>191</v>
      </c>
      <c r="E85" s="10" t="s">
        <v>192</v>
      </c>
      <c r="F85" s="10" t="s">
        <v>193</v>
      </c>
      <c r="G85" s="10" t="s">
        <v>194</v>
      </c>
      <c r="H85" s="10" t="s">
        <v>195</v>
      </c>
      <c r="I85" s="10" t="s">
        <v>196</v>
      </c>
      <c r="J85" s="10" t="s">
        <v>197</v>
      </c>
      <c r="K85" s="264" t="s">
        <v>198</v>
      </c>
      <c r="L85" s="265"/>
      <c r="M85" s="265"/>
      <c r="N85" s="266"/>
      <c r="O85" s="30" t="s">
        <v>140</v>
      </c>
      <c r="P85" s="30" t="s">
        <v>141</v>
      </c>
      <c r="Q85" s="31" t="s">
        <v>16</v>
      </c>
      <c r="R85" s="30" t="s">
        <v>142</v>
      </c>
      <c r="S85" s="30" t="s">
        <v>90</v>
      </c>
      <c r="T85" s="30" t="s">
        <v>18</v>
      </c>
      <c r="U85" s="30" t="s">
        <v>19</v>
      </c>
      <c r="V85" s="32" t="s">
        <v>20</v>
      </c>
      <c r="W85" s="33" t="s">
        <v>21</v>
      </c>
    </row>
    <row r="86" spans="1:24" ht="18" customHeight="1" thickBot="1">
      <c r="A86" s="7" t="s">
        <v>96</v>
      </c>
      <c r="B86" s="8" t="s">
        <v>97</v>
      </c>
      <c r="C86" s="9" t="s">
        <v>98</v>
      </c>
      <c r="D86" s="10" t="s">
        <v>99</v>
      </c>
      <c r="E86" s="10" t="s">
        <v>100</v>
      </c>
      <c r="F86" s="10" t="s">
        <v>101</v>
      </c>
      <c r="G86" s="10" t="s">
        <v>102</v>
      </c>
      <c r="H86" s="10" t="s">
        <v>103</v>
      </c>
      <c r="I86" s="10" t="s">
        <v>104</v>
      </c>
      <c r="J86" s="10" t="s">
        <v>104</v>
      </c>
      <c r="K86" s="264" t="s">
        <v>105</v>
      </c>
      <c r="L86" s="265"/>
      <c r="M86" s="265"/>
      <c r="N86" s="266"/>
      <c r="O86" s="30" t="s">
        <v>143</v>
      </c>
      <c r="P86" s="30" t="s">
        <v>144</v>
      </c>
      <c r="Q86" s="31" t="s">
        <v>145</v>
      </c>
      <c r="R86" s="30" t="s">
        <v>146</v>
      </c>
      <c r="S86" s="30" t="s">
        <v>147</v>
      </c>
      <c r="T86" s="30" t="s">
        <v>148</v>
      </c>
      <c r="U86" s="30" t="s">
        <v>149</v>
      </c>
      <c r="V86" s="32" t="s">
        <v>49</v>
      </c>
      <c r="W86" s="33" t="s">
        <v>150</v>
      </c>
    </row>
    <row r="87" spans="1:24" ht="18" customHeight="1" thickBot="1">
      <c r="A87" s="7" t="s">
        <v>106</v>
      </c>
      <c r="B87" s="8" t="s">
        <v>9</v>
      </c>
      <c r="C87" s="9" t="s">
        <v>107</v>
      </c>
      <c r="D87" s="10" t="s">
        <v>108</v>
      </c>
      <c r="E87" s="10" t="s">
        <v>100</v>
      </c>
      <c r="F87" s="10" t="s">
        <v>109</v>
      </c>
      <c r="G87" s="10" t="s">
        <v>199</v>
      </c>
      <c r="H87" s="10" t="s">
        <v>200</v>
      </c>
      <c r="I87" s="11" t="s">
        <v>201</v>
      </c>
      <c r="J87" s="11" t="s">
        <v>202</v>
      </c>
      <c r="K87" s="12" t="s">
        <v>110</v>
      </c>
      <c r="L87" s="10" t="s">
        <v>111</v>
      </c>
      <c r="M87" s="10" t="s">
        <v>112</v>
      </c>
      <c r="N87" s="13" t="s">
        <v>113</v>
      </c>
      <c r="O87" s="43" t="s">
        <v>151</v>
      </c>
      <c r="P87" s="43" t="s">
        <v>152</v>
      </c>
      <c r="Q87" s="43" t="s">
        <v>153</v>
      </c>
      <c r="R87" s="43" t="s">
        <v>154</v>
      </c>
      <c r="S87" s="43" t="s">
        <v>155</v>
      </c>
      <c r="T87" s="43" t="s">
        <v>156</v>
      </c>
      <c r="U87" s="43" t="s">
        <v>157</v>
      </c>
      <c r="V87" s="44" t="s">
        <v>78</v>
      </c>
      <c r="W87" s="43" t="s">
        <v>158</v>
      </c>
    </row>
    <row r="88" spans="1:24" ht="15.75" thickBot="1">
      <c r="A88" s="267" t="s">
        <v>170</v>
      </c>
      <c r="B88" s="269" t="str">
        <f>VLOOKUP($A$7,'Daily Report'!$C$7:$E$263,2,FALSE)</f>
        <v>GUA</v>
      </c>
      <c r="C88" s="269" t="str">
        <f>VLOOKUP($A$7,'Daily Report'!$C$7:$E$263,3,FALSE)</f>
        <v>SHIRT</v>
      </c>
      <c r="D88" s="45" t="s">
        <v>161</v>
      </c>
      <c r="E88" s="14" t="s">
        <v>174</v>
      </c>
      <c r="F88" s="15"/>
      <c r="G88" s="14">
        <f ca="1">SUMIF('Daily Report'!$AD$7:$AD$263,'Cumulative Table'!$X$7:$X$201&amp;"KIEM",'Daily Report'!$H$7:$H$199)</f>
        <v>0</v>
      </c>
      <c r="H88" s="14">
        <f>SUMIF('Daily Report'!$AD$7:$AD$263,'Cumulative Table'!$X$7:$X$201&amp;"TAIKIEM",'Daily Report'!$H$7:$H$263)</f>
        <v>0</v>
      </c>
      <c r="I88" s="14">
        <f>SUMIF('Daily Report'!$AE$7:$AE$263,'Cumulative Table'!$X$7:$X$201,'Daily Report'!$I$7:$I$263)</f>
        <v>0</v>
      </c>
      <c r="J88" s="14">
        <f>SUMIF('Daily Report'!AE87:AE343,'Cumulative Table'!X88:X281,'Daily Report'!R87:R343)</f>
        <v>0</v>
      </c>
      <c r="K88" s="16"/>
      <c r="L88" s="14"/>
      <c r="M88" s="14"/>
      <c r="N88" s="17">
        <f t="shared" ref="N88:N95" si="17">SUM(K88:M88)</f>
        <v>0</v>
      </c>
      <c r="O88" s="46">
        <f>SUMIF('Daily Report'!AE67:AE259,'Cumulative Table'!X68:X261,'Daily Report'!K67:K259)</f>
        <v>0</v>
      </c>
      <c r="P88" s="47">
        <f>SUMIF('Daily Report'!$AE$7:$AE$263,'Cumulative Table'!$X$7:$X$201,'Daily Report'!$L$7:$L$263)</f>
        <v>0</v>
      </c>
      <c r="Q88" s="47">
        <f>SUMIF('Daily Report'!$AE$7:$AE$263,'Cumulative Table'!$X$7:$X$201,'Daily Report'!$M$7:$M$263)</f>
        <v>0</v>
      </c>
      <c r="R88" s="47">
        <f>SUMIF('Daily Report'!$AE$7:$AE$263,'Cumulative Table'!$X$7:$X$201,'Daily Report'!$N$7:$N$263)</f>
        <v>0</v>
      </c>
      <c r="S88" s="47">
        <f>SUMIF('Daily Report'!$AE$7:$AE$263,'Cumulative Table'!$X$7:$X$201,'Daily Report'!$O$7:$O$263)</f>
        <v>0</v>
      </c>
      <c r="T88" s="47">
        <f>SUMIF('Daily Report'!$AE$7:$AE$263,'Cumulative Table'!$X$8:$X$201,'Daily Report'!$P$7:$P$263)</f>
        <v>0</v>
      </c>
      <c r="U88" s="47">
        <f>SUMIF('Daily Report'!$AE$7:$AE$263,'Cumulative Table'!$X$7:$X$201,'Daily Report'!$Q$7:$Q$263)</f>
        <v>0</v>
      </c>
      <c r="V88" s="47"/>
      <c r="W88" s="48" t="e">
        <f t="shared" ref="W88:W96" ca="1" si="18">H88/G88</f>
        <v>#DIV/0!</v>
      </c>
      <c r="X88" s="18" t="str">
        <f t="shared" ref="X88:X95" si="19">$A$88&amp;D88&amp;E88</f>
        <v>HS8073WHSS</v>
      </c>
    </row>
    <row r="89" spans="1:24" ht="15.75" thickBot="1">
      <c r="A89" s="268"/>
      <c r="B89" s="270"/>
      <c r="C89" s="270"/>
      <c r="D89" s="45" t="s">
        <v>161</v>
      </c>
      <c r="E89" s="19" t="s">
        <v>169</v>
      </c>
      <c r="F89" s="20"/>
      <c r="G89" s="14">
        <f ca="1">SUMIF('Daily Report'!$AD$7:$AD$263,'Cumulative Table'!$X$7:$X$201&amp;"KIEM",'Daily Report'!$H$7:$H$199)</f>
        <v>0</v>
      </c>
      <c r="H89" s="14">
        <f>SUMIF('Daily Report'!$AD$7:$AD$263,'Cumulative Table'!$X$7:$X$201&amp;"TAIKIEM",'Daily Report'!$H$7:$H$263)</f>
        <v>0</v>
      </c>
      <c r="I89" s="14">
        <f>SUMIF('Daily Report'!$AE$7:$AE$263,'Cumulative Table'!$X$7:$X$201,'Daily Report'!$I$7:$I$263)</f>
        <v>0</v>
      </c>
      <c r="J89" s="14">
        <f>SUMIF('Daily Report'!AE88:AE344,'Cumulative Table'!X89:X282,'Daily Report'!R88:R344)</f>
        <v>0</v>
      </c>
      <c r="K89" s="21"/>
      <c r="L89" s="19"/>
      <c r="M89" s="19"/>
      <c r="N89" s="22">
        <f t="shared" si="17"/>
        <v>0</v>
      </c>
      <c r="O89" s="46">
        <f>SUMIF('Daily Report'!AE68:AE260,'Cumulative Table'!X69:X262,'Daily Report'!K68:K260)</f>
        <v>0</v>
      </c>
      <c r="P89" s="47">
        <f>SUMIF('Daily Report'!$AE$7:$AE$263,'Cumulative Table'!$X$7:$X$201,'Daily Report'!$L$7:$L$263)</f>
        <v>0</v>
      </c>
      <c r="Q89" s="47">
        <f>SUMIF('Daily Report'!$AE$7:$AE$263,'Cumulative Table'!$X$7:$X$201,'Daily Report'!$M$7:$M$263)</f>
        <v>0</v>
      </c>
      <c r="R89" s="47">
        <f>SUMIF('Daily Report'!$AE$7:$AE$263,'Cumulative Table'!$X$7:$X$201,'Daily Report'!$N$7:$N$263)</f>
        <v>0</v>
      </c>
      <c r="S89" s="47">
        <f>SUMIF('Daily Report'!$AE$7:$AE$263,'Cumulative Table'!$X$7:$X$201,'Daily Report'!$O$7:$O$263)</f>
        <v>0</v>
      </c>
      <c r="T89" s="47">
        <f>SUMIF('Daily Report'!$AE$7:$AE$263,'Cumulative Table'!$X$8:$X$201,'Daily Report'!$P$7:$P$263)</f>
        <v>0</v>
      </c>
      <c r="U89" s="47">
        <f>SUMIF('Daily Report'!$AE$7:$AE$263,'Cumulative Table'!$X$7:$X$201,'Daily Report'!$Q$7:$Q$263)</f>
        <v>0</v>
      </c>
      <c r="V89" s="49"/>
      <c r="W89" s="50" t="e">
        <f t="shared" ca="1" si="18"/>
        <v>#DIV/0!</v>
      </c>
      <c r="X89" s="18" t="str">
        <f t="shared" si="19"/>
        <v>HS8073WHS</v>
      </c>
    </row>
    <row r="90" spans="1:24" ht="15.75" thickBot="1">
      <c r="A90" s="268"/>
      <c r="B90" s="270"/>
      <c r="C90" s="270"/>
      <c r="D90" s="45" t="s">
        <v>161</v>
      </c>
      <c r="E90" s="19" t="s">
        <v>166</v>
      </c>
      <c r="F90" s="20"/>
      <c r="G90" s="14">
        <f ca="1">SUMIF('Daily Report'!$AD$7:$AD$263,'Cumulative Table'!$X$7:$X$201&amp;"KIEM",'Daily Report'!$H$7:$H$199)</f>
        <v>2</v>
      </c>
      <c r="H90" s="14">
        <f>SUMIF('Daily Report'!$AD$7:$AD$263,'Cumulative Table'!$X$7:$X$201&amp;"TAIKIEM",'Daily Report'!$H$7:$H$263)</f>
        <v>0</v>
      </c>
      <c r="I90" s="14">
        <f>SUMIF('Daily Report'!$AE$7:$AE$263,'Cumulative Table'!$X$7:$X$201,'Daily Report'!$I$7:$I$263)</f>
        <v>2</v>
      </c>
      <c r="J90" s="14">
        <f>SUMIF('Daily Report'!AE89:AE345,'Cumulative Table'!X90:X283,'Daily Report'!R89:R345)</f>
        <v>0</v>
      </c>
      <c r="K90" s="21"/>
      <c r="L90" s="19"/>
      <c r="M90" s="19"/>
      <c r="N90" s="22">
        <f t="shared" si="17"/>
        <v>0</v>
      </c>
      <c r="O90" s="46">
        <f>SUMIF('Daily Report'!AE69:AE261,'Cumulative Table'!X70:X263,'Daily Report'!K69:K261)</f>
        <v>0</v>
      </c>
      <c r="P90" s="47">
        <f>SUMIF('Daily Report'!$AE$7:$AE$263,'Cumulative Table'!$X$7:$X$201,'Daily Report'!$L$7:$L$263)</f>
        <v>0</v>
      </c>
      <c r="Q90" s="47">
        <f>SUMIF('Daily Report'!$AE$7:$AE$263,'Cumulative Table'!$X$7:$X$201,'Daily Report'!$M$7:$M$263)</f>
        <v>0</v>
      </c>
      <c r="R90" s="47">
        <f>SUMIF('Daily Report'!$AE$7:$AE$263,'Cumulative Table'!$X$7:$X$201,'Daily Report'!$N$7:$N$263)</f>
        <v>0</v>
      </c>
      <c r="S90" s="47">
        <f>SUMIF('Daily Report'!$AE$7:$AE$263,'Cumulative Table'!$X$7:$X$201,'Daily Report'!$O$7:$O$263)</f>
        <v>0</v>
      </c>
      <c r="T90" s="47">
        <f>SUMIF('Daily Report'!$AE$7:$AE$263,'Cumulative Table'!$X$8:$X$201,'Daily Report'!$P$7:$P$263)</f>
        <v>0</v>
      </c>
      <c r="U90" s="47">
        <f>SUMIF('Daily Report'!$AE$7:$AE$263,'Cumulative Table'!$X$7:$X$201,'Daily Report'!$Q$7:$Q$263)</f>
        <v>0</v>
      </c>
      <c r="V90" s="49"/>
      <c r="W90" s="50">
        <f t="shared" ca="1" si="18"/>
        <v>0</v>
      </c>
      <c r="X90" s="18" t="str">
        <f t="shared" si="19"/>
        <v>HS8073WHM</v>
      </c>
    </row>
    <row r="91" spans="1:24" ht="15.75" thickBot="1">
      <c r="A91" s="268"/>
      <c r="B91" s="270"/>
      <c r="C91" s="270"/>
      <c r="D91" s="45" t="s">
        <v>161</v>
      </c>
      <c r="E91" s="19" t="s">
        <v>162</v>
      </c>
      <c r="F91" s="20"/>
      <c r="G91" s="14">
        <f ca="1">SUMIF('Daily Report'!$AD$7:$AD$263,'Cumulative Table'!$X$7:$X$201&amp;"KIEM",'Daily Report'!$H$7:$H$199)</f>
        <v>1</v>
      </c>
      <c r="H91" s="14">
        <f>SUMIF('Daily Report'!$AD$7:$AD$263,'Cumulative Table'!$X$7:$X$201&amp;"TAIKIEM",'Daily Report'!$H$7:$H$263)</f>
        <v>0</v>
      </c>
      <c r="I91" s="14">
        <f>SUMIF('Daily Report'!$AE$7:$AE$263,'Cumulative Table'!$X$7:$X$201,'Daily Report'!$I$7:$I$263)</f>
        <v>1</v>
      </c>
      <c r="J91" s="14">
        <f>SUMIF('Daily Report'!AE90:AE346,'Cumulative Table'!X91:X284,'Daily Report'!R90:R346)</f>
        <v>0</v>
      </c>
      <c r="K91" s="21"/>
      <c r="L91" s="19"/>
      <c r="M91" s="19"/>
      <c r="N91" s="22">
        <f t="shared" si="17"/>
        <v>0</v>
      </c>
      <c r="O91" s="46">
        <f>SUMIF('Daily Report'!AE70:AE262,'Cumulative Table'!X71:X264,'Daily Report'!K70:K262)</f>
        <v>0</v>
      </c>
      <c r="P91" s="47">
        <f>SUMIF('Daily Report'!$AE$7:$AE$263,'Cumulative Table'!$X$7:$X$201,'Daily Report'!$L$7:$L$263)</f>
        <v>0</v>
      </c>
      <c r="Q91" s="47">
        <f>SUMIF('Daily Report'!$AE$7:$AE$263,'Cumulative Table'!$X$7:$X$201,'Daily Report'!$M$7:$M$263)</f>
        <v>0</v>
      </c>
      <c r="R91" s="47">
        <f>SUMIF('Daily Report'!$AE$7:$AE$263,'Cumulative Table'!$X$7:$X$201,'Daily Report'!$N$7:$N$263)</f>
        <v>0</v>
      </c>
      <c r="S91" s="47">
        <f>SUMIF('Daily Report'!$AE$7:$AE$263,'Cumulative Table'!$X$7:$X$201,'Daily Report'!$O$7:$O$263)</f>
        <v>0</v>
      </c>
      <c r="T91" s="47">
        <f>SUMIF('Daily Report'!$AE$7:$AE$263,'Cumulative Table'!$X$8:$X$201,'Daily Report'!$P$7:$P$263)</f>
        <v>0</v>
      </c>
      <c r="U91" s="47">
        <f>SUMIF('Daily Report'!$AE$7:$AE$263,'Cumulative Table'!$X$7:$X$201,'Daily Report'!$Q$7:$Q$263)</f>
        <v>0</v>
      </c>
      <c r="V91" s="49"/>
      <c r="W91" s="50">
        <f t="shared" ca="1" si="18"/>
        <v>0</v>
      </c>
      <c r="X91" s="18" t="str">
        <f t="shared" si="19"/>
        <v>HS8073WHL</v>
      </c>
    </row>
    <row r="92" spans="1:24" ht="15.75" thickBot="1">
      <c r="A92" s="268"/>
      <c r="B92" s="270"/>
      <c r="C92" s="270"/>
      <c r="D92" s="45" t="s">
        <v>161</v>
      </c>
      <c r="E92" s="19" t="s">
        <v>164</v>
      </c>
      <c r="F92" s="20"/>
      <c r="G92" s="14">
        <f ca="1">SUMIF('Daily Report'!$AD$7:$AD$263,'Cumulative Table'!$X$7:$X$201&amp;"KIEM",'Daily Report'!$H$7:$H$199)</f>
        <v>0</v>
      </c>
      <c r="H92" s="14">
        <f>SUMIF('Daily Report'!$AD$7:$AD$263,'Cumulative Table'!$X$7:$X$201&amp;"TAIKIEM",'Daily Report'!$H$7:$H$263)</f>
        <v>0</v>
      </c>
      <c r="I92" s="14">
        <f>SUMIF('Daily Report'!$AE$7:$AE$263,'Cumulative Table'!$X$7:$X$201,'Daily Report'!$I$7:$I$263)</f>
        <v>0</v>
      </c>
      <c r="J92" s="14">
        <f>SUMIF('Daily Report'!AE91:AE347,'Cumulative Table'!X92:X285,'Daily Report'!R91:R347)</f>
        <v>0</v>
      </c>
      <c r="K92" s="21"/>
      <c r="L92" s="19"/>
      <c r="M92" s="19"/>
      <c r="N92" s="22">
        <f t="shared" si="17"/>
        <v>0</v>
      </c>
      <c r="O92" s="46">
        <f>SUMIF('Daily Report'!AE71:AE263,'Cumulative Table'!X72:X265,'Daily Report'!K71:K263)</f>
        <v>0</v>
      </c>
      <c r="P92" s="47">
        <f>SUMIF('Daily Report'!$AE$7:$AE$263,'Cumulative Table'!$X$7:$X$201,'Daily Report'!$L$7:$L$263)</f>
        <v>0</v>
      </c>
      <c r="Q92" s="47">
        <f>SUMIF('Daily Report'!$AE$7:$AE$263,'Cumulative Table'!$X$7:$X$201,'Daily Report'!$M$7:$M$263)</f>
        <v>0</v>
      </c>
      <c r="R92" s="47">
        <f>SUMIF('Daily Report'!$AE$7:$AE$263,'Cumulative Table'!$X$7:$X$201,'Daily Report'!$N$7:$N$263)</f>
        <v>0</v>
      </c>
      <c r="S92" s="47">
        <f>SUMIF('Daily Report'!$AE$7:$AE$263,'Cumulative Table'!$X$7:$X$201,'Daily Report'!$O$7:$O$263)</f>
        <v>0</v>
      </c>
      <c r="T92" s="47">
        <f>SUMIF('Daily Report'!$AE$7:$AE$263,'Cumulative Table'!$X$8:$X$201,'Daily Report'!$P$7:$P$263)</f>
        <v>0</v>
      </c>
      <c r="U92" s="47">
        <f>SUMIF('Daily Report'!$AE$7:$AE$263,'Cumulative Table'!$X$7:$X$201,'Daily Report'!$Q$7:$Q$263)</f>
        <v>0</v>
      </c>
      <c r="V92" s="49"/>
      <c r="W92" s="50" t="e">
        <f t="shared" ca="1" si="18"/>
        <v>#DIV/0!</v>
      </c>
      <c r="X92" s="18" t="str">
        <f t="shared" si="19"/>
        <v>HS8073WHLL</v>
      </c>
    </row>
    <row r="93" spans="1:24" ht="15.75" thickBot="1">
      <c r="A93" s="268"/>
      <c r="B93" s="270"/>
      <c r="C93" s="270"/>
      <c r="D93" s="45" t="s">
        <v>161</v>
      </c>
      <c r="E93" s="19" t="s">
        <v>177</v>
      </c>
      <c r="F93" s="20"/>
      <c r="G93" s="14">
        <f ca="1">SUMIF('Daily Report'!$AD$7:$AD$263,'Cumulative Table'!$X$7:$X$201&amp;"KIEM",'Daily Report'!$H$7:$H$199)</f>
        <v>0</v>
      </c>
      <c r="H93" s="14">
        <f>SUMIF('Daily Report'!$AD$7:$AD$263,'Cumulative Table'!$X$7:$X$201&amp;"TAIKIEM",'Daily Report'!$H$7:$H$263)</f>
        <v>0</v>
      </c>
      <c r="I93" s="14">
        <f>SUMIF('Daily Report'!$AE$7:$AE$263,'Cumulative Table'!$X$7:$X$201,'Daily Report'!$I$7:$I$263)</f>
        <v>0</v>
      </c>
      <c r="J93" s="14">
        <f>SUMIF('Daily Report'!AE92:AE348,'Cumulative Table'!X93:X286,'Daily Report'!R92:R348)</f>
        <v>0</v>
      </c>
      <c r="K93" s="21"/>
      <c r="L93" s="19"/>
      <c r="M93" s="19"/>
      <c r="N93" s="22">
        <f t="shared" si="17"/>
        <v>0</v>
      </c>
      <c r="O93" s="46">
        <f>SUMIF('Daily Report'!AE72:AE264,'Cumulative Table'!X73:X266,'Daily Report'!K72:K264)</f>
        <v>0</v>
      </c>
      <c r="P93" s="47">
        <f>SUMIF('Daily Report'!$AE$7:$AE$263,'Cumulative Table'!$X$7:$X$201,'Daily Report'!$L$7:$L$263)</f>
        <v>0</v>
      </c>
      <c r="Q93" s="47">
        <f>SUMIF('Daily Report'!$AE$7:$AE$263,'Cumulative Table'!$X$7:$X$201,'Daily Report'!$M$7:$M$263)</f>
        <v>0</v>
      </c>
      <c r="R93" s="47">
        <f>SUMIF('Daily Report'!$AE$7:$AE$263,'Cumulative Table'!$X$7:$X$201,'Daily Report'!$N$7:$N$263)</f>
        <v>0</v>
      </c>
      <c r="S93" s="47">
        <f>SUMIF('Daily Report'!$AE$7:$AE$263,'Cumulative Table'!$X$7:$X$201,'Daily Report'!$O$7:$O$263)</f>
        <v>0</v>
      </c>
      <c r="T93" s="47">
        <f>SUMIF('Daily Report'!$AE$7:$AE$263,'Cumulative Table'!$X$8:$X$201,'Daily Report'!$P$7:$P$263)</f>
        <v>0</v>
      </c>
      <c r="U93" s="47">
        <f>SUMIF('Daily Report'!$AE$7:$AE$263,'Cumulative Table'!$X$7:$X$201,'Daily Report'!$Q$7:$Q$263)</f>
        <v>0</v>
      </c>
      <c r="V93" s="49"/>
      <c r="W93" s="50" t="e">
        <f t="shared" ca="1" si="18"/>
        <v>#DIV/0!</v>
      </c>
      <c r="X93" s="18" t="str">
        <f t="shared" si="19"/>
        <v>HS8073WHBL</v>
      </c>
    </row>
    <row r="94" spans="1:24" ht="15.75" thickBot="1">
      <c r="A94" s="268"/>
      <c r="B94" s="270"/>
      <c r="C94" s="270"/>
      <c r="D94" s="45" t="s">
        <v>161</v>
      </c>
      <c r="E94" s="19" t="s">
        <v>173</v>
      </c>
      <c r="F94" s="20"/>
      <c r="G94" s="14">
        <f ca="1">SUMIF('Daily Report'!$AD$7:$AD$263,'Cumulative Table'!$X$7:$X$201&amp;"KIEM",'Daily Report'!$H$7:$H$199)</f>
        <v>0</v>
      </c>
      <c r="H94" s="14">
        <f>SUMIF('Daily Report'!$AD$7:$AD$263,'Cumulative Table'!$X$7:$X$201&amp;"TAIKIEM",'Daily Report'!$H$7:$H$263)</f>
        <v>0</v>
      </c>
      <c r="I94" s="14">
        <f>SUMIF('Daily Report'!$AE$7:$AE$263,'Cumulative Table'!$X$7:$X$201,'Daily Report'!$I$7:$I$263)</f>
        <v>0</v>
      </c>
      <c r="J94" s="14">
        <f>SUMIF('Daily Report'!AE93:AE349,'Cumulative Table'!X94:X287,'Daily Report'!R93:R349)</f>
        <v>0</v>
      </c>
      <c r="K94" s="21"/>
      <c r="L94" s="19"/>
      <c r="M94" s="19"/>
      <c r="N94" s="22">
        <f t="shared" si="17"/>
        <v>0</v>
      </c>
      <c r="O94" s="46">
        <f>SUMIF('Daily Report'!AE73:AE265,'Cumulative Table'!X74:X267,'Daily Report'!K73:K265)</f>
        <v>0</v>
      </c>
      <c r="P94" s="47">
        <f>SUMIF('Daily Report'!$AE$7:$AE$263,'Cumulative Table'!$X$7:$X$201,'Daily Report'!$L$7:$L$263)</f>
        <v>0</v>
      </c>
      <c r="Q94" s="47">
        <f>SUMIF('Daily Report'!$AE$7:$AE$263,'Cumulative Table'!$X$7:$X$201,'Daily Report'!$M$7:$M$263)</f>
        <v>0</v>
      </c>
      <c r="R94" s="47">
        <f>SUMIF('Daily Report'!$AE$7:$AE$263,'Cumulative Table'!$X$7:$X$201,'Daily Report'!$N$7:$N$263)</f>
        <v>0</v>
      </c>
      <c r="S94" s="47">
        <f>SUMIF('Daily Report'!$AE$7:$AE$263,'Cumulative Table'!$X$7:$X$201,'Daily Report'!$O$7:$O$263)</f>
        <v>0</v>
      </c>
      <c r="T94" s="47">
        <f>SUMIF('Daily Report'!$AE$7:$AE$263,'Cumulative Table'!$X$8:$X$201,'Daily Report'!$P$7:$P$263)</f>
        <v>0</v>
      </c>
      <c r="U94" s="47">
        <f>SUMIF('Daily Report'!$AE$7:$AE$263,'Cumulative Table'!$X$7:$X$201,'Daily Report'!$Q$7:$Q$263)</f>
        <v>0</v>
      </c>
      <c r="V94" s="49"/>
      <c r="W94" s="50" t="e">
        <f t="shared" ca="1" si="18"/>
        <v>#DIV/0!</v>
      </c>
      <c r="X94" s="18" t="str">
        <f t="shared" si="19"/>
        <v>HS8073WH4L</v>
      </c>
    </row>
    <row r="95" spans="1:24" ht="15.75" thickBot="1">
      <c r="A95" s="268"/>
      <c r="B95" s="270"/>
      <c r="C95" s="270"/>
      <c r="D95" s="45" t="s">
        <v>161</v>
      </c>
      <c r="E95" s="19" t="s">
        <v>175</v>
      </c>
      <c r="F95" s="20"/>
      <c r="G95" s="14">
        <f ca="1">SUMIF('Daily Report'!$AD$7:$AD$263,'Cumulative Table'!$X$7:$X$201&amp;"KIEM",'Daily Report'!$H$7:$H$199)</f>
        <v>0</v>
      </c>
      <c r="H95" s="14">
        <f>SUMIF('Daily Report'!$AD$7:$AD$263,'Cumulative Table'!$X$7:$X$201&amp;"TAIKIEM",'Daily Report'!$H$7:$H$263)</f>
        <v>0</v>
      </c>
      <c r="I95" s="14">
        <f>SUMIF('Daily Report'!$AE$7:$AE$263,'Cumulative Table'!$X$7:$X$201,'Daily Report'!$I$7:$I$263)</f>
        <v>0</v>
      </c>
      <c r="J95" s="14">
        <f>SUMIF('Daily Report'!AE94:AE350,'Cumulative Table'!X95:X288,'Daily Report'!R94:R350)</f>
        <v>0</v>
      </c>
      <c r="K95" s="21"/>
      <c r="L95" s="19"/>
      <c r="M95" s="19"/>
      <c r="N95" s="22">
        <f t="shared" si="17"/>
        <v>0</v>
      </c>
      <c r="O95" s="46">
        <f>SUMIF('Daily Report'!AE74:AE266,'Cumulative Table'!X75:X268,'Daily Report'!K74:K266)</f>
        <v>0</v>
      </c>
      <c r="P95" s="47">
        <f>SUMIF('Daily Report'!$AE$7:$AE$263,'Cumulative Table'!$X$7:$X$201,'Daily Report'!$L$7:$L$263)</f>
        <v>0</v>
      </c>
      <c r="Q95" s="47">
        <f>SUMIF('Daily Report'!$AE$7:$AE$263,'Cumulative Table'!$X$7:$X$201,'Daily Report'!$M$7:$M$263)</f>
        <v>0</v>
      </c>
      <c r="R95" s="47">
        <f>SUMIF('Daily Report'!$AE$7:$AE$263,'Cumulative Table'!$X$7:$X$201,'Daily Report'!$N$7:$N$263)</f>
        <v>0</v>
      </c>
      <c r="S95" s="47">
        <f>SUMIF('Daily Report'!$AE$7:$AE$263,'Cumulative Table'!$X$7:$X$201,'Daily Report'!$O$7:$O$263)</f>
        <v>0</v>
      </c>
      <c r="T95" s="47">
        <f>SUMIF('Daily Report'!$AE$7:$AE$263,'Cumulative Table'!$X$8:$X$201,'Daily Report'!$P$7:$P$263)</f>
        <v>0</v>
      </c>
      <c r="U95" s="47">
        <f>SUMIF('Daily Report'!$AE$7:$AE$263,'Cumulative Table'!$X$7:$X$201,'Daily Report'!$Q$7:$Q$263)</f>
        <v>0</v>
      </c>
      <c r="V95" s="49"/>
      <c r="W95" s="50" t="e">
        <f t="shared" ca="1" si="18"/>
        <v>#DIV/0!</v>
      </c>
      <c r="X95" s="18" t="str">
        <f t="shared" si="19"/>
        <v>HS8073WH5L</v>
      </c>
    </row>
    <row r="96" spans="1:24" s="26" customFormat="1" ht="21.75" customHeight="1" thickBot="1">
      <c r="A96" s="271" t="s">
        <v>114</v>
      </c>
      <c r="B96" s="272"/>
      <c r="C96" s="272"/>
      <c r="D96" s="272"/>
      <c r="E96" s="273"/>
      <c r="F96" s="23">
        <f t="shared" ref="F96:V96" si="20">SUM(F88:F95)</f>
        <v>0</v>
      </c>
      <c r="G96" s="23">
        <f t="shared" ca="1" si="20"/>
        <v>3</v>
      </c>
      <c r="H96" s="25">
        <f t="shared" si="20"/>
        <v>0</v>
      </c>
      <c r="I96" s="35">
        <f t="shared" si="20"/>
        <v>3</v>
      </c>
      <c r="J96" s="23">
        <f t="shared" si="20"/>
        <v>0</v>
      </c>
      <c r="K96" s="24">
        <f t="shared" si="20"/>
        <v>0</v>
      </c>
      <c r="L96" s="24">
        <f t="shared" si="20"/>
        <v>0</v>
      </c>
      <c r="M96" s="23">
        <f t="shared" si="20"/>
        <v>0</v>
      </c>
      <c r="N96" s="25">
        <f t="shared" si="20"/>
        <v>0</v>
      </c>
      <c r="O96" s="25">
        <f t="shared" si="20"/>
        <v>0</v>
      </c>
      <c r="P96" s="25">
        <f t="shared" si="20"/>
        <v>0</v>
      </c>
      <c r="Q96" s="25">
        <f t="shared" si="20"/>
        <v>0</v>
      </c>
      <c r="R96" s="25">
        <f t="shared" si="20"/>
        <v>0</v>
      </c>
      <c r="S96" s="25">
        <f t="shared" si="20"/>
        <v>0</v>
      </c>
      <c r="T96" s="25">
        <f t="shared" si="20"/>
        <v>0</v>
      </c>
      <c r="U96" s="25">
        <f t="shared" si="20"/>
        <v>0</v>
      </c>
      <c r="V96" s="25">
        <f t="shared" si="20"/>
        <v>0</v>
      </c>
      <c r="W96" s="36">
        <f t="shared" ca="1" si="18"/>
        <v>0</v>
      </c>
      <c r="X96" s="18"/>
    </row>
    <row r="97" spans="1:24">
      <c r="A97" s="274" t="s">
        <v>115</v>
      </c>
      <c r="B97" s="275"/>
      <c r="C97" s="51" t="s">
        <v>116</v>
      </c>
      <c r="D97" s="253" t="s">
        <v>117</v>
      </c>
      <c r="E97" s="253"/>
      <c r="F97" s="253"/>
      <c r="G97" s="254"/>
      <c r="H97" s="51" t="s">
        <v>118</v>
      </c>
      <c r="I97" s="278" t="s">
        <v>119</v>
      </c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80"/>
      <c r="X97" s="18"/>
    </row>
    <row r="98" spans="1:24">
      <c r="A98" s="249"/>
      <c r="B98" s="276"/>
      <c r="C98" s="52" t="s">
        <v>120</v>
      </c>
      <c r="D98" s="258" t="s">
        <v>121</v>
      </c>
      <c r="E98" s="258"/>
      <c r="F98" s="258"/>
      <c r="G98" s="259"/>
      <c r="H98" s="53" t="s">
        <v>122</v>
      </c>
      <c r="I98" s="281" t="s">
        <v>123</v>
      </c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3"/>
      <c r="X98" s="18"/>
    </row>
    <row r="99" spans="1:24" ht="15.75" thickBot="1">
      <c r="A99" s="249"/>
      <c r="B99" s="276"/>
      <c r="C99" s="53" t="s">
        <v>124</v>
      </c>
      <c r="D99" s="284" t="s">
        <v>125</v>
      </c>
      <c r="E99" s="284"/>
      <c r="F99" s="284"/>
      <c r="G99" s="285"/>
      <c r="H99" s="53" t="s">
        <v>126</v>
      </c>
      <c r="I99" s="286" t="s">
        <v>127</v>
      </c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8"/>
      <c r="X99" s="18"/>
    </row>
    <row r="100" spans="1:24" ht="15.75" thickBot="1">
      <c r="A100" s="251"/>
      <c r="B100" s="277"/>
      <c r="C100" s="55" t="s">
        <v>128</v>
      </c>
      <c r="D100" s="56"/>
      <c r="E100" s="56"/>
      <c r="F100" s="56"/>
      <c r="G100" s="56"/>
      <c r="H100" s="56"/>
      <c r="I100" s="57"/>
      <c r="J100" s="57"/>
      <c r="K100" s="57"/>
      <c r="L100" s="57"/>
      <c r="M100" s="57"/>
      <c r="N100" s="57"/>
      <c r="W100" s="34"/>
      <c r="X100" s="18"/>
    </row>
    <row r="101" spans="1:24">
      <c r="A101" s="247" t="s">
        <v>129</v>
      </c>
      <c r="B101" s="248"/>
      <c r="C101" s="27" t="s">
        <v>203</v>
      </c>
      <c r="D101" s="253" t="s">
        <v>130</v>
      </c>
      <c r="E101" s="253"/>
      <c r="F101" s="253"/>
      <c r="G101" s="254"/>
      <c r="H101" s="27" t="s">
        <v>131</v>
      </c>
      <c r="I101" s="255" t="s">
        <v>132</v>
      </c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7"/>
      <c r="X101" s="18"/>
    </row>
    <row r="102" spans="1:24">
      <c r="A102" s="249"/>
      <c r="B102" s="250"/>
      <c r="C102" s="28" t="s">
        <v>133</v>
      </c>
      <c r="D102" s="258" t="s">
        <v>134</v>
      </c>
      <c r="E102" s="258"/>
      <c r="F102" s="258"/>
      <c r="G102" s="259"/>
      <c r="H102" s="29" t="s">
        <v>135</v>
      </c>
      <c r="I102" s="255" t="s">
        <v>136</v>
      </c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7"/>
      <c r="X102" s="18"/>
    </row>
    <row r="103" spans="1:24">
      <c r="A103" s="249"/>
      <c r="B103" s="250"/>
      <c r="C103" s="29" t="s">
        <v>204</v>
      </c>
      <c r="D103" s="260" t="s">
        <v>137</v>
      </c>
      <c r="E103" s="260"/>
      <c r="F103" s="260"/>
      <c r="G103" s="261"/>
      <c r="H103" s="29" t="s">
        <v>138</v>
      </c>
      <c r="I103" s="255" t="s">
        <v>139</v>
      </c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7"/>
      <c r="X103" s="18"/>
    </row>
    <row r="104" spans="1:24" ht="15.75" thickBot="1">
      <c r="A104" s="251"/>
      <c r="B104" s="252"/>
      <c r="C104" s="262"/>
      <c r="D104" s="263"/>
      <c r="E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18" t="str">
        <f>A104&amp;D104&amp;E104</f>
        <v/>
      </c>
    </row>
    <row r="105" spans="1:24" ht="18" customHeight="1" thickBot="1">
      <c r="A105" s="7" t="s">
        <v>189</v>
      </c>
      <c r="B105" s="8" t="s">
        <v>95</v>
      </c>
      <c r="C105" s="9" t="s">
        <v>190</v>
      </c>
      <c r="D105" s="10" t="s">
        <v>191</v>
      </c>
      <c r="E105" s="10" t="s">
        <v>192</v>
      </c>
      <c r="F105" s="10" t="s">
        <v>193</v>
      </c>
      <c r="G105" s="10" t="s">
        <v>194</v>
      </c>
      <c r="H105" s="10" t="s">
        <v>195</v>
      </c>
      <c r="I105" s="10" t="s">
        <v>196</v>
      </c>
      <c r="J105" s="10" t="s">
        <v>197</v>
      </c>
      <c r="K105" s="264" t="s">
        <v>198</v>
      </c>
      <c r="L105" s="265"/>
      <c r="M105" s="265"/>
      <c r="N105" s="266"/>
      <c r="O105" s="30" t="s">
        <v>140</v>
      </c>
      <c r="P105" s="30" t="s">
        <v>141</v>
      </c>
      <c r="Q105" s="31" t="s">
        <v>16</v>
      </c>
      <c r="R105" s="30" t="s">
        <v>142</v>
      </c>
      <c r="S105" s="30" t="s">
        <v>90</v>
      </c>
      <c r="T105" s="30" t="s">
        <v>18</v>
      </c>
      <c r="U105" s="30" t="s">
        <v>19</v>
      </c>
      <c r="V105" s="32" t="s">
        <v>20</v>
      </c>
      <c r="W105" s="33" t="s">
        <v>21</v>
      </c>
    </row>
    <row r="106" spans="1:24" ht="18" customHeight="1" thickBot="1">
      <c r="A106" s="7" t="s">
        <v>96</v>
      </c>
      <c r="B106" s="8" t="s">
        <v>97</v>
      </c>
      <c r="C106" s="9" t="s">
        <v>98</v>
      </c>
      <c r="D106" s="10" t="s">
        <v>99</v>
      </c>
      <c r="E106" s="10" t="s">
        <v>100</v>
      </c>
      <c r="F106" s="10" t="s">
        <v>101</v>
      </c>
      <c r="G106" s="10" t="s">
        <v>102</v>
      </c>
      <c r="H106" s="10" t="s">
        <v>103</v>
      </c>
      <c r="I106" s="10" t="s">
        <v>104</v>
      </c>
      <c r="J106" s="10" t="s">
        <v>104</v>
      </c>
      <c r="K106" s="264" t="s">
        <v>105</v>
      </c>
      <c r="L106" s="265"/>
      <c r="M106" s="265"/>
      <c r="N106" s="266"/>
      <c r="O106" s="30" t="s">
        <v>143</v>
      </c>
      <c r="P106" s="30" t="s">
        <v>144</v>
      </c>
      <c r="Q106" s="31" t="s">
        <v>145</v>
      </c>
      <c r="R106" s="30" t="s">
        <v>146</v>
      </c>
      <c r="S106" s="30" t="s">
        <v>147</v>
      </c>
      <c r="T106" s="30" t="s">
        <v>148</v>
      </c>
      <c r="U106" s="30" t="s">
        <v>149</v>
      </c>
      <c r="V106" s="32" t="s">
        <v>49</v>
      </c>
      <c r="W106" s="33" t="s">
        <v>150</v>
      </c>
    </row>
    <row r="107" spans="1:24" ht="18" customHeight="1" thickBot="1">
      <c r="A107" s="7" t="s">
        <v>106</v>
      </c>
      <c r="B107" s="8" t="s">
        <v>9</v>
      </c>
      <c r="C107" s="9" t="s">
        <v>107</v>
      </c>
      <c r="D107" s="10" t="s">
        <v>108</v>
      </c>
      <c r="E107" s="10" t="s">
        <v>100</v>
      </c>
      <c r="F107" s="10" t="s">
        <v>109</v>
      </c>
      <c r="G107" s="10" t="s">
        <v>199</v>
      </c>
      <c r="H107" s="10" t="s">
        <v>200</v>
      </c>
      <c r="I107" s="11" t="s">
        <v>201</v>
      </c>
      <c r="J107" s="11" t="s">
        <v>202</v>
      </c>
      <c r="K107" s="12" t="s">
        <v>110</v>
      </c>
      <c r="L107" s="10" t="s">
        <v>111</v>
      </c>
      <c r="M107" s="10" t="s">
        <v>112</v>
      </c>
      <c r="N107" s="13" t="s">
        <v>113</v>
      </c>
      <c r="O107" s="43" t="s">
        <v>151</v>
      </c>
      <c r="P107" s="43" t="s">
        <v>152</v>
      </c>
      <c r="Q107" s="43" t="s">
        <v>153</v>
      </c>
      <c r="R107" s="43" t="s">
        <v>154</v>
      </c>
      <c r="S107" s="43" t="s">
        <v>155</v>
      </c>
      <c r="T107" s="43" t="s">
        <v>156</v>
      </c>
      <c r="U107" s="43" t="s">
        <v>157</v>
      </c>
      <c r="V107" s="44" t="s">
        <v>78</v>
      </c>
      <c r="W107" s="43" t="s">
        <v>158</v>
      </c>
    </row>
    <row r="108" spans="1:24" ht="15.75" thickBot="1">
      <c r="A108" s="267" t="s">
        <v>171</v>
      </c>
      <c r="B108" s="269" t="str">
        <f>VLOOKUP($A$7,'Daily Report'!$C$7:$E$263,2,FALSE)</f>
        <v>GUA</v>
      </c>
      <c r="C108" s="269" t="str">
        <f>VLOOKUP($A$7,'Daily Report'!$C$7:$E$263,3,FALSE)</f>
        <v>SHIRT</v>
      </c>
      <c r="D108" s="45" t="s">
        <v>161</v>
      </c>
      <c r="E108" s="14" t="s">
        <v>174</v>
      </c>
      <c r="F108" s="15"/>
      <c r="G108" s="14">
        <f ca="1">SUMIF('Daily Report'!$AD$7:$AD$263,'Cumulative Table'!$X7:$X200&amp;"KIEM",'Daily Report'!$H$7:$H$199)</f>
        <v>0</v>
      </c>
      <c r="H108" s="14">
        <f>SUMIF('Daily Report'!$AD$7:$AD$263,'Cumulative Table'!$X$7:$X$201&amp;"TAIKIEM",'Daily Report'!$H$7:$H$263)</f>
        <v>0</v>
      </c>
      <c r="I108" s="14">
        <f>SUMIF('Daily Report'!$AE$7:$AE$263,'Cumulative Table'!$X$7:$X$201,'Daily Report'!$I$7:$I$263)</f>
        <v>0</v>
      </c>
      <c r="J108" s="14">
        <f>SUMIF('Daily Report'!AE107:AE363,'Cumulative Table'!X108:X301,'Daily Report'!R107:R363)</f>
        <v>0</v>
      </c>
      <c r="K108" s="16"/>
      <c r="L108" s="14"/>
      <c r="M108" s="14"/>
      <c r="N108" s="17">
        <f t="shared" ref="N108:N115" si="21">SUM(K108:M108)</f>
        <v>0</v>
      </c>
      <c r="O108" s="46">
        <f>SUMIF('Daily Report'!AE87:AE279,'Cumulative Table'!X88:X281,'Daily Report'!K87:K279)</f>
        <v>0</v>
      </c>
      <c r="P108" s="47">
        <f>SUMIF('Daily Report'!$AE$7:$AE$263,'Cumulative Table'!$X$7:$X$201,'Daily Report'!$L$7:$L$263)</f>
        <v>0</v>
      </c>
      <c r="Q108" s="47">
        <f>SUMIF('Daily Report'!$AE$7:$AE$263,'Cumulative Table'!$X$7:$X$201,'Daily Report'!$M$7:$M$263)</f>
        <v>0</v>
      </c>
      <c r="R108" s="47">
        <f>SUMIF('Daily Report'!$AE$7:$AE$263,'Cumulative Table'!$X$7:$X$201,'Daily Report'!$N$7:$N$263)</f>
        <v>0</v>
      </c>
      <c r="S108" s="47">
        <f>SUMIF('Daily Report'!$AE$7:$AE$263,'Cumulative Table'!$X$7:$X$201,'Daily Report'!$O$7:$O$263)</f>
        <v>0</v>
      </c>
      <c r="T108" s="47">
        <f>SUMIF('Daily Report'!$AE$7:$AE$263,'Cumulative Table'!$X$8:$X$201,'Daily Report'!$P$7:$P$263)</f>
        <v>0</v>
      </c>
      <c r="U108" s="47">
        <f>SUMIF('Daily Report'!$AE$7:$AE$263,'Cumulative Table'!$X$7:$X$201,'Daily Report'!$Q$7:$Q$263)</f>
        <v>0</v>
      </c>
      <c r="V108" s="47"/>
      <c r="W108" s="48" t="e">
        <f t="shared" ref="W108:W116" ca="1" si="22">H108/G108</f>
        <v>#DIV/0!</v>
      </c>
      <c r="X108" s="18" t="str">
        <f t="shared" ref="X108:X115" si="23">$A$108&amp;D108&amp;E108</f>
        <v>BR1109WHSS</v>
      </c>
    </row>
    <row r="109" spans="1:24" ht="15.75" thickBot="1">
      <c r="A109" s="268"/>
      <c r="B109" s="270"/>
      <c r="C109" s="270"/>
      <c r="D109" s="45" t="s">
        <v>161</v>
      </c>
      <c r="E109" s="19" t="s">
        <v>169</v>
      </c>
      <c r="F109" s="20"/>
      <c r="G109" s="14">
        <f ca="1">SUMIF('Daily Report'!$AD$7:$AD$263,'Cumulative Table'!$X8:$X201&amp;"KIEM",'Daily Report'!$H$7:$H$199)</f>
        <v>0</v>
      </c>
      <c r="H109" s="14">
        <f>SUMIF('Daily Report'!$AD$7:$AD$263,'Cumulative Table'!$X$7:$X$201&amp;"TAIKIEM",'Daily Report'!$H$7:$H$263)</f>
        <v>0</v>
      </c>
      <c r="I109" s="14">
        <f>SUMIF('Daily Report'!$AE$7:$AE$263,'Cumulative Table'!$X$7:$X$201,'Daily Report'!$I$7:$I$263)</f>
        <v>0</v>
      </c>
      <c r="J109" s="14">
        <f>SUMIF('Daily Report'!AE108:AE364,'Cumulative Table'!X109:X302,'Daily Report'!R108:R364)</f>
        <v>0</v>
      </c>
      <c r="K109" s="21"/>
      <c r="L109" s="19"/>
      <c r="M109" s="19"/>
      <c r="N109" s="22">
        <f t="shared" si="21"/>
        <v>0</v>
      </c>
      <c r="O109" s="46">
        <f>SUMIF('Daily Report'!AE88:AE280,'Cumulative Table'!X89:X282,'Daily Report'!K88:K280)</f>
        <v>0</v>
      </c>
      <c r="P109" s="47">
        <f>SUMIF('Daily Report'!$AE$7:$AE$263,'Cumulative Table'!$X$7:$X$201,'Daily Report'!$L$7:$L$263)</f>
        <v>0</v>
      </c>
      <c r="Q109" s="47">
        <f>SUMIF('Daily Report'!$AE$7:$AE$263,'Cumulative Table'!$X$7:$X$201,'Daily Report'!$M$7:$M$263)</f>
        <v>0</v>
      </c>
      <c r="R109" s="47">
        <f>SUMIF('Daily Report'!$AE$7:$AE$263,'Cumulative Table'!$X$7:$X$201,'Daily Report'!$N$7:$N$263)</f>
        <v>0</v>
      </c>
      <c r="S109" s="47">
        <f>SUMIF('Daily Report'!$AE$7:$AE$263,'Cumulative Table'!$X$7:$X$201,'Daily Report'!$O$7:$O$263)</f>
        <v>0</v>
      </c>
      <c r="T109" s="47">
        <f>SUMIF('Daily Report'!$AE$7:$AE$263,'Cumulative Table'!$X$8:$X$201,'Daily Report'!$P$7:$P$263)</f>
        <v>0</v>
      </c>
      <c r="U109" s="47">
        <f>SUMIF('Daily Report'!$AE$7:$AE$263,'Cumulative Table'!$X$7:$X$201,'Daily Report'!$Q$7:$Q$263)</f>
        <v>0</v>
      </c>
      <c r="V109" s="49"/>
      <c r="W109" s="50" t="e">
        <f t="shared" ca="1" si="22"/>
        <v>#DIV/0!</v>
      </c>
      <c r="X109" s="18" t="str">
        <f t="shared" si="23"/>
        <v>BR1109WHS</v>
      </c>
    </row>
    <row r="110" spans="1:24" ht="15.75" thickBot="1">
      <c r="A110" s="268"/>
      <c r="B110" s="270"/>
      <c r="C110" s="270"/>
      <c r="D110" s="45" t="s">
        <v>161</v>
      </c>
      <c r="E110" s="19" t="s">
        <v>166</v>
      </c>
      <c r="F110" s="20"/>
      <c r="G110" s="14">
        <f ca="1">SUMIF('Daily Report'!$AD$7:$AD$263,'Cumulative Table'!$X9:$X202&amp;"KIEM",'Daily Report'!$H$7:$H$199)</f>
        <v>0</v>
      </c>
      <c r="H110" s="14">
        <f>SUMIF('Daily Report'!$AD$7:$AD$263,'Cumulative Table'!$X$7:$X$201&amp;"TAIKIEM",'Daily Report'!$H$7:$H$263)</f>
        <v>0</v>
      </c>
      <c r="I110" s="14">
        <f>SUMIF('Daily Report'!$AE$7:$AE$263,'Cumulative Table'!$X$7:$X$201,'Daily Report'!$I$7:$I$263)</f>
        <v>0</v>
      </c>
      <c r="J110" s="14">
        <f>SUMIF('Daily Report'!AE109:AE365,'Cumulative Table'!X110:X303,'Daily Report'!R109:R365)</f>
        <v>0</v>
      </c>
      <c r="K110" s="21"/>
      <c r="L110" s="19"/>
      <c r="M110" s="19"/>
      <c r="N110" s="22">
        <f t="shared" si="21"/>
        <v>0</v>
      </c>
      <c r="O110" s="46">
        <f>SUMIF('Daily Report'!AE89:AE281,'Cumulative Table'!X90:X283,'Daily Report'!K89:K281)</f>
        <v>0</v>
      </c>
      <c r="P110" s="47">
        <f>SUMIF('Daily Report'!$AE$7:$AE$263,'Cumulative Table'!$X$7:$X$201,'Daily Report'!$L$7:$L$263)</f>
        <v>0</v>
      </c>
      <c r="Q110" s="47">
        <f>SUMIF('Daily Report'!$AE$7:$AE$263,'Cumulative Table'!$X$7:$X$201,'Daily Report'!$M$7:$M$263)</f>
        <v>0</v>
      </c>
      <c r="R110" s="47">
        <f>SUMIF('Daily Report'!$AE$7:$AE$263,'Cumulative Table'!$X$7:$X$201,'Daily Report'!$N$7:$N$263)</f>
        <v>0</v>
      </c>
      <c r="S110" s="47">
        <f>SUMIF('Daily Report'!$AE$7:$AE$263,'Cumulative Table'!$X$7:$X$201,'Daily Report'!$O$7:$O$263)</f>
        <v>0</v>
      </c>
      <c r="T110" s="47">
        <f>SUMIF('Daily Report'!$AE$7:$AE$263,'Cumulative Table'!$X$8:$X$201,'Daily Report'!$P$7:$P$263)</f>
        <v>0</v>
      </c>
      <c r="U110" s="47">
        <f>SUMIF('Daily Report'!$AE$7:$AE$263,'Cumulative Table'!$X$7:$X$201,'Daily Report'!$Q$7:$Q$263)</f>
        <v>0</v>
      </c>
      <c r="V110" s="49"/>
      <c r="W110" s="50" t="e">
        <f t="shared" ca="1" si="22"/>
        <v>#DIV/0!</v>
      </c>
      <c r="X110" s="18" t="str">
        <f t="shared" si="23"/>
        <v>BR1109WHM</v>
      </c>
    </row>
    <row r="111" spans="1:24" ht="15.75" thickBot="1">
      <c r="A111" s="268"/>
      <c r="B111" s="270"/>
      <c r="C111" s="270"/>
      <c r="D111" s="45" t="s">
        <v>161</v>
      </c>
      <c r="E111" s="19" t="s">
        <v>162</v>
      </c>
      <c r="F111" s="20"/>
      <c r="G111" s="14">
        <f ca="1">SUMIF('Daily Report'!$AD$7:$AD$263,'Cumulative Table'!$X10:$X203&amp;"KIEM",'Daily Report'!$H$7:$H$199)</f>
        <v>2</v>
      </c>
      <c r="H111" s="14">
        <f>SUMIF('Daily Report'!$AD$7:$AD$263,'Cumulative Table'!$X$7:$X$201&amp;"TAIKIEM",'Daily Report'!$H$7:$H$263)</f>
        <v>0</v>
      </c>
      <c r="I111" s="14">
        <f>SUMIF('Daily Report'!$AE$7:$AE$263,'Cumulative Table'!$X$7:$X$201,'Daily Report'!$I$7:$I$263)</f>
        <v>2</v>
      </c>
      <c r="J111" s="14">
        <f>SUMIF('Daily Report'!AE110:AE366,'Cumulative Table'!X111:X304,'Daily Report'!R110:R366)</f>
        <v>0</v>
      </c>
      <c r="K111" s="21"/>
      <c r="L111" s="19"/>
      <c r="M111" s="19"/>
      <c r="N111" s="22">
        <f t="shared" si="21"/>
        <v>0</v>
      </c>
      <c r="O111" s="46">
        <f>SUMIF('Daily Report'!AE90:AE282,'Cumulative Table'!X91:X284,'Daily Report'!K90:K282)</f>
        <v>0</v>
      </c>
      <c r="P111" s="47">
        <f>SUMIF('Daily Report'!$AE$7:$AE$263,'Cumulative Table'!$X$7:$X$201,'Daily Report'!$L$7:$L$263)</f>
        <v>0</v>
      </c>
      <c r="Q111" s="47">
        <f>SUMIF('Daily Report'!$AE$7:$AE$263,'Cumulative Table'!$X$7:$X$201,'Daily Report'!$M$7:$M$263)</f>
        <v>0</v>
      </c>
      <c r="R111" s="47">
        <f>SUMIF('Daily Report'!$AE$7:$AE$263,'Cumulative Table'!$X$7:$X$201,'Daily Report'!$N$7:$N$263)</f>
        <v>0</v>
      </c>
      <c r="S111" s="47">
        <f>SUMIF('Daily Report'!$AE$7:$AE$263,'Cumulative Table'!$X$7:$X$201,'Daily Report'!$O$7:$O$263)</f>
        <v>0</v>
      </c>
      <c r="T111" s="47">
        <f>SUMIF('Daily Report'!$AE$7:$AE$263,'Cumulative Table'!$X$8:$X$201,'Daily Report'!$P$7:$P$263)</f>
        <v>0</v>
      </c>
      <c r="U111" s="47">
        <f>SUMIF('Daily Report'!$AE$7:$AE$263,'Cumulative Table'!$X$7:$X$201,'Daily Report'!$Q$7:$Q$263)</f>
        <v>0</v>
      </c>
      <c r="V111" s="49"/>
      <c r="W111" s="50">
        <f t="shared" ca="1" si="22"/>
        <v>0</v>
      </c>
      <c r="X111" s="18" t="str">
        <f t="shared" si="23"/>
        <v>BR1109WHL</v>
      </c>
    </row>
    <row r="112" spans="1:24" ht="15.75" thickBot="1">
      <c r="A112" s="268"/>
      <c r="B112" s="270"/>
      <c r="C112" s="270"/>
      <c r="D112" s="45" t="s">
        <v>161</v>
      </c>
      <c r="E112" s="19" t="s">
        <v>164</v>
      </c>
      <c r="F112" s="20"/>
      <c r="G112" s="14">
        <f ca="1">SUMIF('Daily Report'!$AD$7:$AD$263,'Cumulative Table'!$X11:$X204&amp;"KIEM",'Daily Report'!$H$7:$H$199)</f>
        <v>0</v>
      </c>
      <c r="H112" s="14">
        <f>SUMIF('Daily Report'!$AD$7:$AD$263,'Cumulative Table'!$X$7:$X$201&amp;"TAIKIEM",'Daily Report'!$H$7:$H$263)</f>
        <v>0</v>
      </c>
      <c r="I112" s="14">
        <f>SUMIF('Daily Report'!$AE$7:$AE$263,'Cumulative Table'!$X$7:$X$201,'Daily Report'!$I$7:$I$263)</f>
        <v>0</v>
      </c>
      <c r="J112" s="14">
        <f>SUMIF('Daily Report'!AE111:AE367,'Cumulative Table'!X112:X305,'Daily Report'!R111:R367)</f>
        <v>0</v>
      </c>
      <c r="K112" s="21"/>
      <c r="L112" s="19"/>
      <c r="M112" s="19"/>
      <c r="N112" s="22">
        <f t="shared" si="21"/>
        <v>0</v>
      </c>
      <c r="O112" s="46">
        <f>SUMIF('Daily Report'!AE91:AE283,'Cumulative Table'!X92:X285,'Daily Report'!K91:K283)</f>
        <v>0</v>
      </c>
      <c r="P112" s="47">
        <f>SUMIF('Daily Report'!$AE$7:$AE$263,'Cumulative Table'!$X$7:$X$201,'Daily Report'!$L$7:$L$263)</f>
        <v>0</v>
      </c>
      <c r="Q112" s="47">
        <f>SUMIF('Daily Report'!$AE$7:$AE$263,'Cumulative Table'!$X$7:$X$201,'Daily Report'!$M$7:$M$263)</f>
        <v>0</v>
      </c>
      <c r="R112" s="47">
        <f>SUMIF('Daily Report'!$AE$7:$AE$263,'Cumulative Table'!$X$7:$X$201,'Daily Report'!$N$7:$N$263)</f>
        <v>0</v>
      </c>
      <c r="S112" s="47">
        <f>SUMIF('Daily Report'!$AE$7:$AE$263,'Cumulative Table'!$X$7:$X$201,'Daily Report'!$O$7:$O$263)</f>
        <v>0</v>
      </c>
      <c r="T112" s="47">
        <f>SUMIF('Daily Report'!$AE$7:$AE$263,'Cumulative Table'!$X$8:$X$201,'Daily Report'!$P$7:$P$263)</f>
        <v>0</v>
      </c>
      <c r="U112" s="47">
        <f>SUMIF('Daily Report'!$AE$7:$AE$263,'Cumulative Table'!$X$7:$X$201,'Daily Report'!$Q$7:$Q$263)</f>
        <v>0</v>
      </c>
      <c r="V112" s="49"/>
      <c r="W112" s="50" t="e">
        <f t="shared" ca="1" si="22"/>
        <v>#DIV/0!</v>
      </c>
      <c r="X112" s="18" t="str">
        <f t="shared" si="23"/>
        <v>BR1109WHLL</v>
      </c>
    </row>
    <row r="113" spans="1:26" ht="15.75" thickBot="1">
      <c r="A113" s="268"/>
      <c r="B113" s="270"/>
      <c r="C113" s="270"/>
      <c r="D113" s="45" t="s">
        <v>161</v>
      </c>
      <c r="E113" s="19" t="s">
        <v>177</v>
      </c>
      <c r="F113" s="20"/>
      <c r="G113" s="14">
        <f ca="1">SUMIF('Daily Report'!$AD$7:$AD$263,'Cumulative Table'!$X12:$X205&amp;"KIEM",'Daily Report'!$H$7:$H$199)</f>
        <v>0</v>
      </c>
      <c r="H113" s="14">
        <f>SUMIF('Daily Report'!$AD$7:$AD$263,'Cumulative Table'!$X$7:$X$201&amp;"TAIKIEM",'Daily Report'!$H$7:$H$263)</f>
        <v>0</v>
      </c>
      <c r="I113" s="14">
        <f>SUMIF('Daily Report'!$AE$7:$AE$263,'Cumulative Table'!$X$7:$X$201,'Daily Report'!$I$7:$I$263)</f>
        <v>0</v>
      </c>
      <c r="J113" s="14">
        <f>SUMIF('Daily Report'!AE112:AE368,'Cumulative Table'!X113:X306,'Daily Report'!R112:R368)</f>
        <v>0</v>
      </c>
      <c r="K113" s="21"/>
      <c r="L113" s="19"/>
      <c r="M113" s="19"/>
      <c r="N113" s="22">
        <f t="shared" si="21"/>
        <v>0</v>
      </c>
      <c r="O113" s="46">
        <f>SUMIF('Daily Report'!AE92:AE284,'Cumulative Table'!X93:X286,'Daily Report'!K92:K284)</f>
        <v>0</v>
      </c>
      <c r="P113" s="47">
        <f>SUMIF('Daily Report'!$AE$7:$AE$263,'Cumulative Table'!$X$7:$X$201,'Daily Report'!$L$7:$L$263)</f>
        <v>0</v>
      </c>
      <c r="Q113" s="47">
        <f>SUMIF('Daily Report'!$AE$7:$AE$263,'Cumulative Table'!$X$7:$X$201,'Daily Report'!$M$7:$M$263)</f>
        <v>0</v>
      </c>
      <c r="R113" s="47">
        <f>SUMIF('Daily Report'!$AE$7:$AE$263,'Cumulative Table'!$X$7:$X$201,'Daily Report'!$N$7:$N$263)</f>
        <v>0</v>
      </c>
      <c r="S113" s="47">
        <f>SUMIF('Daily Report'!$AE$7:$AE$263,'Cumulative Table'!$X$7:$X$201,'Daily Report'!$O$7:$O$263)</f>
        <v>0</v>
      </c>
      <c r="T113" s="47">
        <f>SUMIF('Daily Report'!$AE$7:$AE$263,'Cumulative Table'!$X$8:$X$201,'Daily Report'!$P$7:$P$263)</f>
        <v>0</v>
      </c>
      <c r="U113" s="47">
        <f>SUMIF('Daily Report'!$AE$7:$AE$263,'Cumulative Table'!$X$7:$X$201,'Daily Report'!$Q$7:$Q$263)</f>
        <v>0</v>
      </c>
      <c r="V113" s="49"/>
      <c r="W113" s="50" t="e">
        <f t="shared" ca="1" si="22"/>
        <v>#DIV/0!</v>
      </c>
      <c r="X113" s="18" t="str">
        <f t="shared" si="23"/>
        <v>BR1109WHBL</v>
      </c>
    </row>
    <row r="114" spans="1:26" ht="15.75" thickBot="1">
      <c r="A114" s="268"/>
      <c r="B114" s="270"/>
      <c r="C114" s="270"/>
      <c r="D114" s="45" t="s">
        <v>161</v>
      </c>
      <c r="E114" s="19" t="s">
        <v>173</v>
      </c>
      <c r="F114" s="20"/>
      <c r="G114" s="14">
        <f ca="1">SUMIF('Daily Report'!$AD$7:$AD$263,'Cumulative Table'!$X13:$X206&amp;"KIEM",'Daily Report'!$H$7:$H$199)</f>
        <v>0</v>
      </c>
      <c r="H114" s="14">
        <f>SUMIF('Daily Report'!$AD$7:$AD$263,'Cumulative Table'!$X$7:$X$201&amp;"TAIKIEM",'Daily Report'!$H$7:$H$263)</f>
        <v>0</v>
      </c>
      <c r="I114" s="14">
        <f>SUMIF('Daily Report'!$AE$7:$AE$263,'Cumulative Table'!$X$7:$X$201,'Daily Report'!$I$7:$I$263)</f>
        <v>0</v>
      </c>
      <c r="J114" s="14">
        <f>SUMIF('Daily Report'!AE113:AE369,'Cumulative Table'!X114:X307,'Daily Report'!R113:R369)</f>
        <v>0</v>
      </c>
      <c r="K114" s="21"/>
      <c r="L114" s="19"/>
      <c r="M114" s="19"/>
      <c r="N114" s="22">
        <f t="shared" si="21"/>
        <v>0</v>
      </c>
      <c r="O114" s="46">
        <f>SUMIF('Daily Report'!AE93:AE285,'Cumulative Table'!X94:X287,'Daily Report'!K93:K285)</f>
        <v>0</v>
      </c>
      <c r="P114" s="47">
        <f>SUMIF('Daily Report'!$AE$7:$AE$263,'Cumulative Table'!$X$7:$X$201,'Daily Report'!$L$7:$L$263)</f>
        <v>0</v>
      </c>
      <c r="Q114" s="47">
        <f>SUMIF('Daily Report'!$AE$7:$AE$263,'Cumulative Table'!$X$7:$X$201,'Daily Report'!$M$7:$M$263)</f>
        <v>0</v>
      </c>
      <c r="R114" s="47">
        <f>SUMIF('Daily Report'!$AE$7:$AE$263,'Cumulative Table'!$X$7:$X$201,'Daily Report'!$N$7:$N$263)</f>
        <v>0</v>
      </c>
      <c r="S114" s="47">
        <f>SUMIF('Daily Report'!$AE$7:$AE$263,'Cumulative Table'!$X$7:$X$201,'Daily Report'!$O$7:$O$263)</f>
        <v>0</v>
      </c>
      <c r="T114" s="47">
        <f>SUMIF('Daily Report'!$AE$7:$AE$263,'Cumulative Table'!$X$8:$X$201,'Daily Report'!$P$7:$P$263)</f>
        <v>0</v>
      </c>
      <c r="U114" s="47">
        <f>SUMIF('Daily Report'!$AE$7:$AE$263,'Cumulative Table'!$X$7:$X$201,'Daily Report'!$Q$7:$Q$263)</f>
        <v>0</v>
      </c>
      <c r="V114" s="49"/>
      <c r="W114" s="50" t="e">
        <f t="shared" ca="1" si="22"/>
        <v>#DIV/0!</v>
      </c>
      <c r="X114" s="18" t="str">
        <f t="shared" si="23"/>
        <v>BR1109WH4L</v>
      </c>
    </row>
    <row r="115" spans="1:26" ht="15.75" thickBot="1">
      <c r="A115" s="268"/>
      <c r="B115" s="270"/>
      <c r="C115" s="270"/>
      <c r="D115" s="45" t="s">
        <v>161</v>
      </c>
      <c r="E115" s="19" t="s">
        <v>175</v>
      </c>
      <c r="F115" s="20"/>
      <c r="G115" s="14">
        <f ca="1">SUMIF('Daily Report'!$AD$7:$AD$263,'Cumulative Table'!$X14:$X207&amp;"KIEM",'Daily Report'!$H$7:$H$199)</f>
        <v>0</v>
      </c>
      <c r="H115" s="14">
        <f>SUMIF('Daily Report'!$AD$7:$AD$263,'Cumulative Table'!$X$7:$X$201&amp;"TAIKIEM",'Daily Report'!$H$7:$H$263)</f>
        <v>0</v>
      </c>
      <c r="I115" s="14">
        <f>SUMIF('Daily Report'!$AE$7:$AE$263,'Cumulative Table'!$X$7:$X$201,'Daily Report'!$I$7:$I$263)</f>
        <v>0</v>
      </c>
      <c r="J115" s="14">
        <f>SUMIF('Daily Report'!AE114:AE370,'Cumulative Table'!X115:X308,'Daily Report'!R114:R370)</f>
        <v>0</v>
      </c>
      <c r="K115" s="21"/>
      <c r="L115" s="19"/>
      <c r="M115" s="19"/>
      <c r="N115" s="22">
        <f t="shared" si="21"/>
        <v>0</v>
      </c>
      <c r="O115" s="46">
        <f>SUMIF('Daily Report'!AE94:AE286,'Cumulative Table'!X95:X288,'Daily Report'!K94:K286)</f>
        <v>0</v>
      </c>
      <c r="P115" s="47">
        <f>SUMIF('Daily Report'!$AE$7:$AE$263,'Cumulative Table'!$X$7:$X$201,'Daily Report'!$L$7:$L$263)</f>
        <v>0</v>
      </c>
      <c r="Q115" s="47">
        <f>SUMIF('Daily Report'!$AE$7:$AE$263,'Cumulative Table'!$X$7:$X$201,'Daily Report'!$M$7:$M$263)</f>
        <v>0</v>
      </c>
      <c r="R115" s="47">
        <f>SUMIF('Daily Report'!$AE$7:$AE$263,'Cumulative Table'!$X$7:$X$201,'Daily Report'!$N$7:$N$263)</f>
        <v>0</v>
      </c>
      <c r="S115" s="47">
        <f>SUMIF('Daily Report'!$AE$7:$AE$263,'Cumulative Table'!$X$7:$X$201,'Daily Report'!$O$7:$O$263)</f>
        <v>0</v>
      </c>
      <c r="T115" s="47">
        <f>SUMIF('Daily Report'!$AE$7:$AE$263,'Cumulative Table'!$X$8:$X$201,'Daily Report'!$P$7:$P$263)</f>
        <v>0</v>
      </c>
      <c r="U115" s="47">
        <f>SUMIF('Daily Report'!$AE$7:$AE$263,'Cumulative Table'!$X$7:$X$201,'Daily Report'!$Q$7:$Q$263)</f>
        <v>0</v>
      </c>
      <c r="V115" s="49"/>
      <c r="W115" s="50" t="e">
        <f t="shared" ca="1" si="22"/>
        <v>#DIV/0!</v>
      </c>
      <c r="X115" s="18" t="str">
        <f t="shared" si="23"/>
        <v>BR1109WH5L</v>
      </c>
    </row>
    <row r="116" spans="1:26" s="26" customFormat="1" ht="21.75" customHeight="1" thickBot="1">
      <c r="A116" s="271" t="s">
        <v>114</v>
      </c>
      <c r="B116" s="272"/>
      <c r="C116" s="272"/>
      <c r="D116" s="272"/>
      <c r="E116" s="273"/>
      <c r="F116" s="23">
        <f t="shared" ref="F116:V116" si="24">SUM(F108:F115)</f>
        <v>0</v>
      </c>
      <c r="G116" s="14">
        <f ca="1">SUMIF('Daily Report'!$AD$7:$AD$263,'Cumulative Table'!$X15:X208&amp;"KIEM",'Daily Report'!$H$7:$H$199)</f>
        <v>0</v>
      </c>
      <c r="H116" s="25">
        <f t="shared" si="24"/>
        <v>0</v>
      </c>
      <c r="I116" s="35">
        <f t="shared" si="24"/>
        <v>2</v>
      </c>
      <c r="J116" s="23">
        <f t="shared" si="24"/>
        <v>0</v>
      </c>
      <c r="K116" s="24">
        <f t="shared" si="24"/>
        <v>0</v>
      </c>
      <c r="L116" s="24">
        <f t="shared" si="24"/>
        <v>0</v>
      </c>
      <c r="M116" s="23">
        <f t="shared" si="24"/>
        <v>0</v>
      </c>
      <c r="N116" s="25">
        <f t="shared" si="24"/>
        <v>0</v>
      </c>
      <c r="O116" s="25">
        <f t="shared" si="24"/>
        <v>0</v>
      </c>
      <c r="P116" s="25">
        <f t="shared" si="24"/>
        <v>0</v>
      </c>
      <c r="Q116" s="25">
        <f t="shared" si="24"/>
        <v>0</v>
      </c>
      <c r="R116" s="25">
        <f t="shared" si="24"/>
        <v>0</v>
      </c>
      <c r="S116" s="25">
        <f t="shared" si="24"/>
        <v>0</v>
      </c>
      <c r="T116" s="25">
        <f t="shared" si="24"/>
        <v>0</v>
      </c>
      <c r="U116" s="25">
        <f t="shared" si="24"/>
        <v>0</v>
      </c>
      <c r="V116" s="25">
        <f t="shared" si="24"/>
        <v>0</v>
      </c>
      <c r="W116" s="36" t="e">
        <f t="shared" ca="1" si="22"/>
        <v>#DIV/0!</v>
      </c>
      <c r="X116" s="18"/>
    </row>
    <row r="117" spans="1:26">
      <c r="A117" s="274" t="s">
        <v>115</v>
      </c>
      <c r="B117" s="275"/>
      <c r="C117" s="51" t="s">
        <v>116</v>
      </c>
      <c r="D117" s="253" t="s">
        <v>117</v>
      </c>
      <c r="E117" s="253"/>
      <c r="F117" s="253"/>
      <c r="G117" s="254"/>
      <c r="H117" s="51" t="s">
        <v>118</v>
      </c>
      <c r="I117" s="278" t="s">
        <v>119</v>
      </c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80"/>
      <c r="X117" s="18"/>
    </row>
    <row r="118" spans="1:26">
      <c r="A118" s="249"/>
      <c r="B118" s="276"/>
      <c r="C118" s="52" t="s">
        <v>120</v>
      </c>
      <c r="D118" s="258" t="s">
        <v>121</v>
      </c>
      <c r="E118" s="258"/>
      <c r="F118" s="258"/>
      <c r="G118" s="259"/>
      <c r="H118" s="53" t="s">
        <v>122</v>
      </c>
      <c r="I118" s="281" t="s">
        <v>123</v>
      </c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3"/>
      <c r="X118" s="18"/>
    </row>
    <row r="119" spans="1:26" ht="15.75" thickBot="1">
      <c r="A119" s="249"/>
      <c r="B119" s="276"/>
      <c r="C119" s="53" t="s">
        <v>124</v>
      </c>
      <c r="D119" s="284" t="s">
        <v>125</v>
      </c>
      <c r="E119" s="284"/>
      <c r="F119" s="284"/>
      <c r="G119" s="285"/>
      <c r="H119" s="53" t="s">
        <v>126</v>
      </c>
      <c r="I119" s="286" t="s">
        <v>127</v>
      </c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8"/>
      <c r="X119" s="18"/>
    </row>
    <row r="120" spans="1:26" ht="15.75" thickBot="1">
      <c r="A120" s="251"/>
      <c r="B120" s="277"/>
      <c r="C120" s="55" t="s">
        <v>128</v>
      </c>
      <c r="D120" s="56"/>
      <c r="E120" s="56"/>
      <c r="F120" s="56"/>
      <c r="G120" s="56"/>
      <c r="H120" s="56"/>
      <c r="I120" s="57"/>
      <c r="J120" s="57"/>
      <c r="K120" s="57"/>
      <c r="L120" s="57"/>
      <c r="M120" s="57"/>
      <c r="N120" s="57"/>
      <c r="W120" s="34"/>
      <c r="X120" s="18"/>
    </row>
    <row r="121" spans="1:26">
      <c r="A121" s="247" t="s">
        <v>129</v>
      </c>
      <c r="B121" s="248"/>
      <c r="C121" s="27" t="s">
        <v>203</v>
      </c>
      <c r="D121" s="253" t="s">
        <v>130</v>
      </c>
      <c r="E121" s="253"/>
      <c r="F121" s="253"/>
      <c r="G121" s="254"/>
      <c r="H121" s="27" t="s">
        <v>131</v>
      </c>
      <c r="I121" s="255" t="s">
        <v>132</v>
      </c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7"/>
      <c r="X121" s="18"/>
    </row>
    <row r="122" spans="1:26">
      <c r="A122" s="249"/>
      <c r="B122" s="250"/>
      <c r="C122" s="28" t="s">
        <v>133</v>
      </c>
      <c r="D122" s="258" t="s">
        <v>134</v>
      </c>
      <c r="E122" s="258"/>
      <c r="F122" s="258"/>
      <c r="G122" s="259"/>
      <c r="H122" s="29" t="s">
        <v>135</v>
      </c>
      <c r="I122" s="255" t="s">
        <v>136</v>
      </c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7"/>
      <c r="X122" s="18"/>
    </row>
    <row r="123" spans="1:26">
      <c r="A123" s="249"/>
      <c r="B123" s="250"/>
      <c r="C123" s="29" t="s">
        <v>204</v>
      </c>
      <c r="D123" s="260" t="s">
        <v>137</v>
      </c>
      <c r="E123" s="260"/>
      <c r="F123" s="260"/>
      <c r="G123" s="261"/>
      <c r="H123" s="29" t="s">
        <v>138</v>
      </c>
      <c r="I123" s="255" t="s">
        <v>139</v>
      </c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7"/>
      <c r="X123" s="18"/>
    </row>
    <row r="124" spans="1:26" ht="15.75" thickBot="1">
      <c r="A124" s="251"/>
      <c r="B124" s="252"/>
      <c r="C124" s="262"/>
      <c r="D124" s="263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18" t="str">
        <f>A124&amp;D124&amp;E124</f>
        <v/>
      </c>
    </row>
    <row r="125" spans="1:26" ht="18" customHeight="1" thickBot="1">
      <c r="A125" s="7" t="s">
        <v>189</v>
      </c>
      <c r="B125" s="8" t="s">
        <v>95</v>
      </c>
      <c r="C125" s="9" t="s">
        <v>190</v>
      </c>
      <c r="D125" s="10" t="s">
        <v>191</v>
      </c>
      <c r="E125" s="10" t="s">
        <v>192</v>
      </c>
      <c r="F125" s="10" t="s">
        <v>193</v>
      </c>
      <c r="G125" s="10" t="s">
        <v>194</v>
      </c>
      <c r="H125" s="10" t="s">
        <v>195</v>
      </c>
      <c r="I125" s="10" t="s">
        <v>196</v>
      </c>
      <c r="J125" s="10" t="s">
        <v>197</v>
      </c>
      <c r="K125" s="264" t="s">
        <v>198</v>
      </c>
      <c r="L125" s="265"/>
      <c r="M125" s="265"/>
      <c r="N125" s="266"/>
      <c r="O125" s="30" t="s">
        <v>140</v>
      </c>
      <c r="P125" s="30" t="s">
        <v>141</v>
      </c>
      <c r="Q125" s="31" t="s">
        <v>16</v>
      </c>
      <c r="R125" s="30" t="s">
        <v>142</v>
      </c>
      <c r="S125" s="30" t="s">
        <v>90</v>
      </c>
      <c r="T125" s="30" t="s">
        <v>18</v>
      </c>
      <c r="U125" s="30" t="s">
        <v>19</v>
      </c>
      <c r="V125" s="32" t="s">
        <v>20</v>
      </c>
      <c r="W125" s="33" t="s">
        <v>21</v>
      </c>
    </row>
    <row r="126" spans="1:26" ht="18" customHeight="1" thickBot="1">
      <c r="A126" s="7" t="s">
        <v>96</v>
      </c>
      <c r="B126" s="8" t="s">
        <v>97</v>
      </c>
      <c r="C126" s="9" t="s">
        <v>98</v>
      </c>
      <c r="D126" s="10" t="s">
        <v>99</v>
      </c>
      <c r="E126" s="10" t="s">
        <v>100</v>
      </c>
      <c r="F126" s="10" t="s">
        <v>101</v>
      </c>
      <c r="G126" s="10" t="s">
        <v>102</v>
      </c>
      <c r="H126" s="10" t="s">
        <v>103</v>
      </c>
      <c r="I126" s="10" t="s">
        <v>104</v>
      </c>
      <c r="J126" s="10" t="s">
        <v>104</v>
      </c>
      <c r="K126" s="264" t="s">
        <v>105</v>
      </c>
      <c r="L126" s="265"/>
      <c r="M126" s="265"/>
      <c r="N126" s="266"/>
      <c r="O126" s="30" t="s">
        <v>143</v>
      </c>
      <c r="P126" s="30" t="s">
        <v>144</v>
      </c>
      <c r="Q126" s="31" t="s">
        <v>145</v>
      </c>
      <c r="R126" s="30" t="s">
        <v>146</v>
      </c>
      <c r="S126" s="30" t="s">
        <v>147</v>
      </c>
      <c r="T126" s="30" t="s">
        <v>148</v>
      </c>
      <c r="U126" s="30" t="s">
        <v>149</v>
      </c>
      <c r="V126" s="32" t="s">
        <v>49</v>
      </c>
      <c r="W126" s="33" t="s">
        <v>150</v>
      </c>
    </row>
    <row r="127" spans="1:26" ht="18" customHeight="1" thickBot="1">
      <c r="A127" s="7" t="s">
        <v>106</v>
      </c>
      <c r="B127" s="8" t="s">
        <v>9</v>
      </c>
      <c r="C127" s="9" t="s">
        <v>107</v>
      </c>
      <c r="D127" s="10" t="s">
        <v>108</v>
      </c>
      <c r="E127" s="10" t="s">
        <v>100</v>
      </c>
      <c r="F127" s="10" t="s">
        <v>109</v>
      </c>
      <c r="G127" s="10" t="s">
        <v>199</v>
      </c>
      <c r="H127" s="10" t="s">
        <v>200</v>
      </c>
      <c r="I127" s="11" t="s">
        <v>201</v>
      </c>
      <c r="J127" s="11" t="s">
        <v>202</v>
      </c>
      <c r="K127" s="12" t="s">
        <v>110</v>
      </c>
      <c r="L127" s="10" t="s">
        <v>111</v>
      </c>
      <c r="M127" s="10" t="s">
        <v>112</v>
      </c>
      <c r="N127" s="13" t="s">
        <v>113</v>
      </c>
      <c r="O127" s="43" t="s">
        <v>151</v>
      </c>
      <c r="P127" s="43" t="s">
        <v>152</v>
      </c>
      <c r="Q127" s="43" t="s">
        <v>153</v>
      </c>
      <c r="R127" s="43" t="s">
        <v>154</v>
      </c>
      <c r="S127" s="43" t="s">
        <v>155</v>
      </c>
      <c r="T127" s="43" t="s">
        <v>156</v>
      </c>
      <c r="U127" s="43" t="s">
        <v>157</v>
      </c>
      <c r="V127" s="44" t="s">
        <v>78</v>
      </c>
      <c r="W127" s="43" t="s">
        <v>158</v>
      </c>
    </row>
    <row r="128" spans="1:26" ht="15.75" thickBot="1">
      <c r="A128" s="267" t="s">
        <v>171</v>
      </c>
      <c r="B128" s="269" t="str">
        <f>VLOOKUP(A$7,'Daily Report'!$C$7:$E$263,2,FALSE)</f>
        <v>GUA</v>
      </c>
      <c r="C128" s="269" t="str">
        <f>VLOOKUP(A$7,'Daily Report'!$C$7:$E$263,3,FALSE)</f>
        <v>SHIRT</v>
      </c>
      <c r="D128" s="45" t="s">
        <v>161</v>
      </c>
      <c r="E128" s="14" t="s">
        <v>174</v>
      </c>
      <c r="F128" s="15"/>
      <c r="G128" s="14">
        <f ca="1">SUMIF('Daily Report'!$AD$7:$AD$263,'Cumulative Table'!X$7:$X$201&amp;"KIEM",'Daily Report'!$H$7:$H$199)</f>
        <v>0</v>
      </c>
      <c r="H128" s="14">
        <f>SUMIF('Daily Report'!$AD$7:$AD$263,'Cumulative Table'!$X$7:$X$201&amp;"TAIKIEM",'Daily Report'!$H$7:$H$263)</f>
        <v>0</v>
      </c>
      <c r="I128" s="14">
        <f>SUMIF('Daily Report'!$AE$7:$AE$263,'Cumulative Table'!$X$7:$X$201,'Daily Report'!$I$7:$I$263)</f>
        <v>0</v>
      </c>
      <c r="J128" s="14">
        <f>SUMIF('Daily Report'!AE128:AE384,'Cumulative Table'!X128:X322,'Daily Report'!R128:R384)</f>
        <v>0</v>
      </c>
      <c r="K128" s="16"/>
      <c r="L128" s="14"/>
      <c r="M128" s="14"/>
      <c r="N128" s="17">
        <f t="shared" ref="N128:N136" si="25">SUM(K128:M128)</f>
        <v>0</v>
      </c>
      <c r="O128" s="46">
        <f>SUMIF('Daily Report'!$AE$7:$AE$263,'Cumulative Table'!$X$7:$X$201,'Daily Report'!$K$7:$K$263)</f>
        <v>0</v>
      </c>
      <c r="P128" s="47">
        <f>SUMIF('Daily Report'!$AE$7:$AE$263,'Cumulative Table'!$X$7:$X$201,'Daily Report'!$L$7:$L$263)</f>
        <v>0</v>
      </c>
      <c r="Q128" s="47">
        <f>SUMIF('Daily Report'!$AE$7:$AE$263,'Cumulative Table'!$X$7:$X$201,'Daily Report'!$M$7:$M$263)</f>
        <v>0</v>
      </c>
      <c r="R128" s="47">
        <f>SUMIF('Daily Report'!$AE$7:$AE$263,'Cumulative Table'!$X$7:$X$201,'Daily Report'!$N$7:$N$263)</f>
        <v>0</v>
      </c>
      <c r="S128" s="47">
        <f>SUMIF('Daily Report'!$AE$7:$AE$263,'Cumulative Table'!$X$7:$X$201,'Daily Report'!$O$7:$O$263)</f>
        <v>0</v>
      </c>
      <c r="T128" s="47">
        <f>SUMIF('Daily Report'!$AE$7:$AE$263,'Cumulative Table'!$X$8:$X$201,'Daily Report'!$P$7:$P$263)</f>
        <v>0</v>
      </c>
      <c r="U128" s="47">
        <f>SUMIF('Daily Report'!$AE$7:$AE$263,'Cumulative Table'!$X$7:$X$201,'Daily Report'!$Q$7:$Q$263)</f>
        <v>0</v>
      </c>
      <c r="V128" s="47"/>
      <c r="W128" s="48" t="e">
        <f t="shared" ref="W128:W137" ca="1" si="26">H128/G128</f>
        <v>#DIV/0!</v>
      </c>
      <c r="X128" s="18" t="str">
        <f t="shared" ref="X128:X136" si="27">A$128&amp;D128&amp;E128</f>
        <v>BR1109WHSS</v>
      </c>
      <c r="Y128" s="37">
        <v>46086</v>
      </c>
      <c r="Z128" s="6">
        <f>SUMIFS('Daily Report'!$H$7:$H$263, 'Daily Report'!$AD$7:$AD$263, TRIM($X128)&amp;"KIEM", 'Daily Report'!$A$7:$A$263, VALUE(#REF!))</f>
        <v>0</v>
      </c>
    </row>
    <row r="129" spans="1:28" ht="15.75" thickBot="1">
      <c r="A129" s="268"/>
      <c r="B129" s="270"/>
      <c r="C129" s="270"/>
      <c r="D129" s="45" t="s">
        <v>161</v>
      </c>
      <c r="E129" s="19" t="s">
        <v>169</v>
      </c>
      <c r="F129" s="20"/>
      <c r="G129" s="14">
        <f ca="1">SUMIF('Daily Report'!$AD$7:$AD$263,'Cumulative Table'!X$7:$X$201&amp;"KIEM",'Daily Report'!$H$7:$H$199)</f>
        <v>0</v>
      </c>
      <c r="H129" s="14">
        <f>SUMIF('Daily Report'!$AD$7:$AD$263,'Cumulative Table'!$X$7:$X$201&amp;"TAIKIEM",'Daily Report'!$H$7:$H$263)</f>
        <v>0</v>
      </c>
      <c r="I129" s="14">
        <f>SUMIF('Daily Report'!$AE$7:$AE$263,'Cumulative Table'!$X$7:$X$201,'Daily Report'!$I$7:$I$263)</f>
        <v>0</v>
      </c>
      <c r="J129" s="14">
        <f>SUMIF('Daily Report'!AE129:AE385,'Cumulative Table'!X129:X323,'Daily Report'!R129:R385)</f>
        <v>0</v>
      </c>
      <c r="K129" s="21"/>
      <c r="L129" s="19"/>
      <c r="M129" s="19"/>
      <c r="N129" s="22">
        <f t="shared" si="25"/>
        <v>0</v>
      </c>
      <c r="O129" s="46">
        <f>SUMIF('Daily Report'!$AE$7:$AE$263,'Cumulative Table'!$X$7:$X$201,'Daily Report'!$K$7:$K$263)</f>
        <v>0</v>
      </c>
      <c r="P129" s="47">
        <f>SUMIF('Daily Report'!$AE$7:$AE$263,'Cumulative Table'!$X$7:$X$201,'Daily Report'!$L$7:$L$263)</f>
        <v>0</v>
      </c>
      <c r="Q129" s="47">
        <f>SUMIF('Daily Report'!$AE$7:$AE$263,'Cumulative Table'!$X$7:$X$201,'Daily Report'!$M$7:$M$263)</f>
        <v>0</v>
      </c>
      <c r="R129" s="47">
        <f>SUMIF('Daily Report'!$AE$7:$AE$263,'Cumulative Table'!$X$7:$X$201,'Daily Report'!$N$7:$N$263)</f>
        <v>0</v>
      </c>
      <c r="S129" s="47">
        <f>SUMIF('Daily Report'!$AE$7:$AE$263,'Cumulative Table'!$X$7:$X$201,'Daily Report'!$O$7:$O$263)</f>
        <v>0</v>
      </c>
      <c r="T129" s="47">
        <f>SUMIF('Daily Report'!$AE$7:$AE$263,'Cumulative Table'!$X$8:$X$201,'Daily Report'!$P$7:$P$263)</f>
        <v>0</v>
      </c>
      <c r="U129" s="47">
        <f>SUMIF('Daily Report'!$AE$7:$AE$263,'Cumulative Table'!$X$7:$X$201,'Daily Report'!$Q$7:$Q$263)</f>
        <v>0</v>
      </c>
      <c r="V129" s="49"/>
      <c r="W129" s="50" t="e">
        <f t="shared" ca="1" si="26"/>
        <v>#DIV/0!</v>
      </c>
      <c r="X129" s="18" t="str">
        <f t="shared" si="27"/>
        <v>BR1109WHS</v>
      </c>
      <c r="Z129" s="6">
        <f>SUMIFS('Daily Report'!$H$7:$H$263, 'Daily Report'!$AD$7:$AD$263, TRIM($X129)&amp;"KIEM", 'Daily Report'!$A$7:$A$263, VALUE(#REF!))</f>
        <v>0</v>
      </c>
    </row>
    <row r="130" spans="1:28" ht="15.75" thickBot="1">
      <c r="A130" s="268"/>
      <c r="B130" s="270"/>
      <c r="C130" s="270"/>
      <c r="D130" s="45" t="s">
        <v>161</v>
      </c>
      <c r="E130" s="19" t="s">
        <v>166</v>
      </c>
      <c r="F130" s="20"/>
      <c r="G130" s="14">
        <f ca="1">SUMIF('Daily Report'!$AD$7:$AD$263,'Cumulative Table'!X$7:$X$201&amp;"KIEM",'Daily Report'!$H$7:$H$199)</f>
        <v>0</v>
      </c>
      <c r="H130" s="14">
        <f>SUMIF('Daily Report'!$AD$7:$AD$263,'Cumulative Table'!$X$7:$X$201&amp;"TAIKIEM",'Daily Report'!$H$7:$H$263)</f>
        <v>0</v>
      </c>
      <c r="I130" s="14">
        <f>SUMIF('Daily Report'!$AE$7:$AE$263,'Cumulative Table'!$X$7:$X$201,'Daily Report'!$I$7:$I$263)</f>
        <v>0</v>
      </c>
      <c r="J130" s="14">
        <f>SUMIF('Daily Report'!AE130:AE386,'Cumulative Table'!X130:X324,'Daily Report'!R130:R386)</f>
        <v>0</v>
      </c>
      <c r="K130" s="21"/>
      <c r="L130" s="19"/>
      <c r="M130" s="19"/>
      <c r="N130" s="22">
        <f t="shared" si="25"/>
        <v>0</v>
      </c>
      <c r="O130" s="46">
        <f>SUMIF('Daily Report'!$AE$7:$AE$263,'Cumulative Table'!$X$7:$X$201,'Daily Report'!$K$7:$K$263)</f>
        <v>0</v>
      </c>
      <c r="P130" s="47">
        <f>SUMIF('Daily Report'!$AE$7:$AE$263,'Cumulative Table'!$X$7:$X$201,'Daily Report'!$L$7:$L$263)</f>
        <v>0</v>
      </c>
      <c r="Q130" s="47">
        <f>SUMIF('Daily Report'!$AE$7:$AE$263,'Cumulative Table'!$X$7:$X$201,'Daily Report'!$M$7:$M$263)</f>
        <v>0</v>
      </c>
      <c r="R130" s="47">
        <f>SUMIF('Daily Report'!$AE$7:$AE$263,'Cumulative Table'!$X$7:$X$201,'Daily Report'!$N$7:$N$263)</f>
        <v>0</v>
      </c>
      <c r="S130" s="47">
        <f>SUMIF('Daily Report'!$AE$7:$AE$263,'Cumulative Table'!$X$7:$X$201,'Daily Report'!$O$7:$O$263)</f>
        <v>0</v>
      </c>
      <c r="T130" s="47">
        <f>SUMIF('Daily Report'!$AE$7:$AE$263,'Cumulative Table'!$X$8:$X$201,'Daily Report'!$P$7:$P$263)</f>
        <v>0</v>
      </c>
      <c r="U130" s="47">
        <f>SUMIF('Daily Report'!$AE$7:$AE$263,'Cumulative Table'!$X$7:$X$201,'Daily Report'!$Q$7:$Q$263)</f>
        <v>0</v>
      </c>
      <c r="V130" s="49"/>
      <c r="W130" s="50" t="e">
        <f t="shared" ca="1" si="26"/>
        <v>#DIV/0!</v>
      </c>
      <c r="X130" s="18" t="str">
        <f t="shared" si="27"/>
        <v>BR1109WHM</v>
      </c>
      <c r="Z130" s="6">
        <f>SUMIFS('Daily Report'!$H$7:$H$263, 'Daily Report'!$AD$7:$AD$263, TRIM($X130)&amp;"KIEM", 'Daily Report'!$A$7:$A$263, VALUE(#REF!))</f>
        <v>0</v>
      </c>
    </row>
    <row r="131" spans="1:28" ht="15.75" thickBot="1">
      <c r="A131" s="268"/>
      <c r="B131" s="270"/>
      <c r="C131" s="270"/>
      <c r="D131" s="45" t="s">
        <v>161</v>
      </c>
      <c r="E131" s="19" t="s">
        <v>162</v>
      </c>
      <c r="F131" s="20"/>
      <c r="G131" s="14">
        <f ca="1">SUMIF('Daily Report'!$AD$7:$AD$263,'Cumulative Table'!X$7:$X$201&amp;"KIEM",'Daily Report'!$H$7:$H$199)</f>
        <v>2</v>
      </c>
      <c r="H131" s="14">
        <f>SUMIF('Daily Report'!$AD$7:$AD$263,'Cumulative Table'!$X$7:$X$201&amp;"TAIKIEM",'Daily Report'!$H$7:$H$263)</f>
        <v>0</v>
      </c>
      <c r="I131" s="14">
        <f>SUMIF('Daily Report'!$AE$7:$AE$263,'Cumulative Table'!$X$7:$X$201,'Daily Report'!$I$7:$I$263)</f>
        <v>2</v>
      </c>
      <c r="J131" s="14">
        <f>SUMIF('Daily Report'!AE131:AE387,'Cumulative Table'!X131:X325,'Daily Report'!R131:R387)</f>
        <v>0</v>
      </c>
      <c r="K131" s="21"/>
      <c r="L131" s="19"/>
      <c r="M131" s="19"/>
      <c r="N131" s="22">
        <f t="shared" si="25"/>
        <v>0</v>
      </c>
      <c r="O131" s="46">
        <f>SUMIF('Daily Report'!$AE$7:$AE$263,'Cumulative Table'!$X$7:$X$201,'Daily Report'!$K$7:$K$263)</f>
        <v>0</v>
      </c>
      <c r="P131" s="47">
        <f>SUMIF('Daily Report'!$AE$7:$AE$263,'Cumulative Table'!$X$7:$X$201,'Daily Report'!$L$7:$L$263)</f>
        <v>0</v>
      </c>
      <c r="Q131" s="47">
        <f>SUMIF('Daily Report'!$AE$7:$AE$263,'Cumulative Table'!$X$7:$X$201,'Daily Report'!$M$7:$M$263)</f>
        <v>0</v>
      </c>
      <c r="R131" s="47">
        <f>SUMIF('Daily Report'!$AE$7:$AE$263,'Cumulative Table'!$X$7:$X$201,'Daily Report'!$N$7:$N$263)</f>
        <v>0</v>
      </c>
      <c r="S131" s="47">
        <f>SUMIF('Daily Report'!$AE$7:$AE$263,'Cumulative Table'!$X$7:$X$201,'Daily Report'!$O$7:$O$263)</f>
        <v>0</v>
      </c>
      <c r="T131" s="47">
        <f>SUMIF('Daily Report'!$AE$7:$AE$263,'Cumulative Table'!$X$8:$X$201,'Daily Report'!$P$7:$P$263)</f>
        <v>0</v>
      </c>
      <c r="U131" s="47">
        <f>SUMIF('Daily Report'!$AE$7:$AE$263,'Cumulative Table'!$X$7:$X$201,'Daily Report'!$Q$7:$Q$263)</f>
        <v>0</v>
      </c>
      <c r="V131" s="49"/>
      <c r="W131" s="50">
        <f t="shared" ca="1" si="26"/>
        <v>0</v>
      </c>
      <c r="X131" s="18" t="str">
        <f t="shared" si="27"/>
        <v>BR1109WHL</v>
      </c>
      <c r="Z131" s="6">
        <f>SUMIFS('Daily Report'!$H$7:$H$263, 'Daily Report'!$AD$7:$AD$263, TRIM($X131)&amp;"KIEM", 'Daily Report'!$A$7:$A$263, VALUE(#REF!))</f>
        <v>0</v>
      </c>
    </row>
    <row r="132" spans="1:28" ht="15.75" thickBot="1">
      <c r="A132" s="268"/>
      <c r="B132" s="270"/>
      <c r="C132" s="270"/>
      <c r="D132" s="45" t="s">
        <v>161</v>
      </c>
      <c r="E132" s="19" t="s">
        <v>164</v>
      </c>
      <c r="F132" s="20"/>
      <c r="G132" s="14">
        <f ca="1">SUMIF('Daily Report'!$AD$7:$AD$263,'Cumulative Table'!X$7:$X$201&amp;"KIEM",'Daily Report'!$H$7:$H$199)</f>
        <v>0</v>
      </c>
      <c r="H132" s="14">
        <f>SUMIF('Daily Report'!$AD$7:$AD$263,'Cumulative Table'!$X$7:$X$201&amp;"TAIKIEM",'Daily Report'!$H$7:$H$263)</f>
        <v>0</v>
      </c>
      <c r="I132" s="14">
        <f>SUMIF('Daily Report'!$AE$7:$AE$263,'Cumulative Table'!$X$7:$X$201,'Daily Report'!$I$7:$I$263)</f>
        <v>0</v>
      </c>
      <c r="J132" s="14">
        <f>SUMIF('Daily Report'!AE132:AE388,'Cumulative Table'!X132:X326,'Daily Report'!R132:R388)</f>
        <v>0</v>
      </c>
      <c r="K132" s="21"/>
      <c r="L132" s="19"/>
      <c r="M132" s="19"/>
      <c r="N132" s="22">
        <f t="shared" si="25"/>
        <v>0</v>
      </c>
      <c r="O132" s="46">
        <f>SUMIF('Daily Report'!$AE$7:$AE$263,'Cumulative Table'!$X$7:$X$201,'Daily Report'!$K$7:$K$263)</f>
        <v>0</v>
      </c>
      <c r="P132" s="47">
        <f>SUMIF('Daily Report'!$AE$7:$AE$263,'Cumulative Table'!$X$7:$X$201,'Daily Report'!$L$7:$L$263)</f>
        <v>0</v>
      </c>
      <c r="Q132" s="47">
        <f>SUMIF('Daily Report'!$AE$7:$AE$263,'Cumulative Table'!$X$7:$X$201,'Daily Report'!$M$7:$M$263)</f>
        <v>0</v>
      </c>
      <c r="R132" s="47">
        <f>SUMIF('Daily Report'!$AE$7:$AE$263,'Cumulative Table'!$X$7:$X$201,'Daily Report'!$N$7:$N$263)</f>
        <v>0</v>
      </c>
      <c r="S132" s="47">
        <f>SUMIF('Daily Report'!$AE$7:$AE$263,'Cumulative Table'!$X$7:$X$201,'Daily Report'!$O$7:$O$263)</f>
        <v>0</v>
      </c>
      <c r="T132" s="47">
        <f>SUMIF('Daily Report'!$AE$7:$AE$263,'Cumulative Table'!$X$8:$X$201,'Daily Report'!$P$7:$P$263)</f>
        <v>0</v>
      </c>
      <c r="U132" s="47">
        <f>SUMIF('Daily Report'!$AE$7:$AE$263,'Cumulative Table'!$X$7:$X$201,'Daily Report'!$Q$7:$Q$263)</f>
        <v>0</v>
      </c>
      <c r="V132" s="49"/>
      <c r="W132" s="50" t="e">
        <f t="shared" ca="1" si="26"/>
        <v>#DIV/0!</v>
      </c>
      <c r="X132" s="18" t="str">
        <f t="shared" si="27"/>
        <v>BR1109WHLL</v>
      </c>
      <c r="Z132" s="6">
        <f>SUMIFS('Daily Report'!$H$7:$H$263, 'Daily Report'!$AD$7:$AD$263, TRIM($X132)&amp;"KIEM", 'Daily Report'!$A$7:$A$263, VALUE(#REF!))</f>
        <v>0</v>
      </c>
    </row>
    <row r="133" spans="1:28" ht="15.75" thickBot="1">
      <c r="A133" s="268"/>
      <c r="B133" s="270"/>
      <c r="C133" s="270"/>
      <c r="D133" s="45" t="s">
        <v>161</v>
      </c>
      <c r="E133" s="19" t="s">
        <v>172</v>
      </c>
      <c r="F133" s="20"/>
      <c r="G133" s="14">
        <f ca="1">SUMIF('Daily Report'!$AD$7:$AD$263,'Cumulative Table'!X$7:$X$201&amp;"KIEM",'Daily Report'!$H$7:$H$199)</f>
        <v>0</v>
      </c>
      <c r="H133" s="14">
        <f>SUMIF('Daily Report'!$AD$7:$AD$263,'Cumulative Table'!$X$7:$X$201&amp;"TAIKIEM",'Daily Report'!$H$7:$H$263)</f>
        <v>0</v>
      </c>
      <c r="I133" s="14">
        <f>SUMIF('Daily Report'!$AE$7:$AE$263,'Cumulative Table'!$X$7:$X$201,'Daily Report'!$I$7:$I$263)</f>
        <v>0</v>
      </c>
      <c r="J133" s="14">
        <f>SUMIF('Daily Report'!AE133:AE389,'Cumulative Table'!X133:X327,'Daily Report'!R133:R389)</f>
        <v>0</v>
      </c>
      <c r="K133" s="21"/>
      <c r="L133" s="19"/>
      <c r="M133" s="19"/>
      <c r="N133" s="22">
        <f t="shared" si="25"/>
        <v>0</v>
      </c>
      <c r="O133" s="46">
        <f>SUMIF('Daily Report'!$AE$7:$AE$263,'Cumulative Table'!$X$7:$X$201,'Daily Report'!$K$7:$K$263)</f>
        <v>0</v>
      </c>
      <c r="P133" s="47">
        <f>SUMIF('Daily Report'!$AE$7:$AE$263,'Cumulative Table'!$X$7:$X$201,'Daily Report'!$L$7:$L$263)</f>
        <v>0</v>
      </c>
      <c r="Q133" s="47">
        <f>SUMIF('Daily Report'!$AE$7:$AE$263,'Cumulative Table'!$X$7:$X$201,'Daily Report'!$M$7:$M$263)</f>
        <v>0</v>
      </c>
      <c r="R133" s="47">
        <f>SUMIF('Daily Report'!$AE$7:$AE$263,'Cumulative Table'!$X$7:$X$201,'Daily Report'!$N$7:$N$263)</f>
        <v>0</v>
      </c>
      <c r="S133" s="47">
        <f>SUMIF('Daily Report'!$AE$7:$AE$263,'Cumulative Table'!$X$7:$X$201,'Daily Report'!$O$7:$O$263)</f>
        <v>0</v>
      </c>
      <c r="T133" s="47">
        <f>SUMIF('Daily Report'!$AE$7:$AE$263,'Cumulative Table'!$X$8:$X$201,'Daily Report'!$P$7:$P$263)</f>
        <v>0</v>
      </c>
      <c r="U133" s="47">
        <f>SUMIF('Daily Report'!$AE$7:$AE$263,'Cumulative Table'!$X$7:$X$201,'Daily Report'!$Q$7:$Q$263)</f>
        <v>0</v>
      </c>
      <c r="V133" s="49"/>
      <c r="W133" s="50" t="e">
        <f t="shared" ca="1" si="26"/>
        <v>#DIV/0!</v>
      </c>
      <c r="X133" s="18" t="str">
        <f t="shared" si="27"/>
        <v>BR1109WHEL</v>
      </c>
      <c r="Z133" s="6">
        <f>SUMIFS('Daily Report'!$H$7:$H$263, 'Daily Report'!$AD$7:$AD$263, TRIM($X133)&amp;"KIEM", 'Daily Report'!$A$7:$A$263, VALUE(#REF!))</f>
        <v>0</v>
      </c>
    </row>
    <row r="134" spans="1:28" ht="15.75" thickBot="1">
      <c r="A134" s="268"/>
      <c r="B134" s="270"/>
      <c r="C134" s="270"/>
      <c r="D134" s="45" t="s">
        <v>161</v>
      </c>
      <c r="E134" s="19" t="s">
        <v>173</v>
      </c>
      <c r="F134" s="20"/>
      <c r="G134" s="14">
        <f ca="1">SUMIF('Daily Report'!$AD$7:$AD$263,'Cumulative Table'!X$7:$X$201&amp;"KIEM",'Daily Report'!$H$7:$H$199)</f>
        <v>0</v>
      </c>
      <c r="H134" s="14">
        <f>SUMIF('Daily Report'!$AD$7:$AD$263,'Cumulative Table'!$X$7:$X$201&amp;"TAIKIEM",'Daily Report'!$H$7:$H$263)</f>
        <v>0</v>
      </c>
      <c r="I134" s="14">
        <f>SUMIF('Daily Report'!$AE$7:$AE$263,'Cumulative Table'!$X$7:$X$201,'Daily Report'!$I$7:$I$263)</f>
        <v>0</v>
      </c>
      <c r="J134" s="14">
        <f>SUMIF('Daily Report'!AE134:AE390,'Cumulative Table'!X134:X328,'Daily Report'!R134:R390)</f>
        <v>0</v>
      </c>
      <c r="K134" s="21"/>
      <c r="L134" s="19"/>
      <c r="M134" s="19"/>
      <c r="N134" s="22">
        <f t="shared" si="25"/>
        <v>0</v>
      </c>
      <c r="O134" s="46">
        <f>SUMIF('Daily Report'!$AE$7:$AE$263,'Cumulative Table'!$X$7:$X$201,'Daily Report'!$K$7:$K$263)</f>
        <v>0</v>
      </c>
      <c r="P134" s="47">
        <f>SUMIF('Daily Report'!$AE$7:$AE$263,'Cumulative Table'!$X$7:$X$201,'Daily Report'!$L$7:$L$263)</f>
        <v>0</v>
      </c>
      <c r="Q134" s="47">
        <f>SUMIF('Daily Report'!$AE$7:$AE$263,'Cumulative Table'!$X$7:$X$201,'Daily Report'!$M$7:$M$263)</f>
        <v>0</v>
      </c>
      <c r="R134" s="47">
        <f>SUMIF('Daily Report'!$AE$7:$AE$263,'Cumulative Table'!$X$7:$X$201,'Daily Report'!$N$7:$N$263)</f>
        <v>0</v>
      </c>
      <c r="S134" s="47">
        <f>SUMIF('Daily Report'!$AE$7:$AE$263,'Cumulative Table'!$X$7:$X$201,'Daily Report'!$O$7:$O$263)</f>
        <v>0</v>
      </c>
      <c r="T134" s="47">
        <f>SUMIF('Daily Report'!$AE$7:$AE$263,'Cumulative Table'!$X$8:$X$201,'Daily Report'!$P$7:$P$263)</f>
        <v>0</v>
      </c>
      <c r="U134" s="47">
        <f>SUMIF('Daily Report'!$AE$7:$AE$263,'Cumulative Table'!$X$7:$X$201,'Daily Report'!$Q$7:$Q$263)</f>
        <v>0</v>
      </c>
      <c r="V134" s="49"/>
      <c r="W134" s="50" t="e">
        <f t="shared" ca="1" si="26"/>
        <v>#DIV/0!</v>
      </c>
      <c r="X134" s="18" t="str">
        <f t="shared" si="27"/>
        <v>BR1109WH4L</v>
      </c>
      <c r="Z134" s="6">
        <f>SUMIFS('Daily Report'!$H$7:$H$263, 'Daily Report'!$AD$7:$AD$263, TRIM($X134)&amp;"KIEM", 'Daily Report'!$A$7:$A$263, VALUE(#REF!))</f>
        <v>0</v>
      </c>
      <c r="AA134" s="54"/>
    </row>
    <row r="135" spans="1:28" ht="15.75" thickBot="1">
      <c r="A135" s="268"/>
      <c r="B135" s="270"/>
      <c r="C135" s="270"/>
      <c r="D135" s="45" t="s">
        <v>161</v>
      </c>
      <c r="E135" s="19" t="s">
        <v>175</v>
      </c>
      <c r="F135" s="20"/>
      <c r="G135" s="14">
        <f ca="1">SUMIF('Daily Report'!$AD$7:$AD$263,'Cumulative Table'!X$7:$X$201&amp;"KIEM",'Daily Report'!$H$7:$H$199)</f>
        <v>0</v>
      </c>
      <c r="H135" s="14">
        <f>SUMIF('Daily Report'!$AD$7:$AD$263,'Cumulative Table'!$X$7:$X$201&amp;"TAIKIEM",'Daily Report'!$H$7:$H$263)</f>
        <v>0</v>
      </c>
      <c r="I135" s="14">
        <f>SUMIF('Daily Report'!$AE$7:$AE$263,'Cumulative Table'!$X$7:$X$201,'Daily Report'!$I$7:$I$263)</f>
        <v>0</v>
      </c>
      <c r="J135" s="14">
        <f>SUMIF('Daily Report'!AE134:AE390,'Cumulative Table'!X135:X328,'Daily Report'!R134:R390)</f>
        <v>0</v>
      </c>
      <c r="K135" s="21"/>
      <c r="L135" s="19"/>
      <c r="M135" s="19"/>
      <c r="N135" s="22">
        <f t="shared" si="25"/>
        <v>0</v>
      </c>
      <c r="O135" s="46">
        <f>SUMIF('Daily Report'!$AE$7:$AE$263,'Cumulative Table'!$X$7:$X$201,'Daily Report'!$K$7:$K$263)</f>
        <v>0</v>
      </c>
      <c r="P135" s="47">
        <f>SUMIF('Daily Report'!$AE$7:$AE$263,'Cumulative Table'!$X$7:$X$201,'Daily Report'!$L$7:$L$263)</f>
        <v>0</v>
      </c>
      <c r="Q135" s="47">
        <f>SUMIF('Daily Report'!$AE$7:$AE$263,'Cumulative Table'!$X$7:$X$201,'Daily Report'!$M$7:$M$263)</f>
        <v>0</v>
      </c>
      <c r="R135" s="47">
        <f>SUMIF('Daily Report'!$AE$7:$AE$263,'Cumulative Table'!$X$7:$X$201,'Daily Report'!$N$7:$N$263)</f>
        <v>0</v>
      </c>
      <c r="S135" s="47">
        <f>SUMIF('Daily Report'!$AE$7:$AE$263,'Cumulative Table'!$X$7:$X$201,'Daily Report'!$O$7:$O$263)</f>
        <v>0</v>
      </c>
      <c r="T135" s="47">
        <f>SUMIF('Daily Report'!$AE$7:$AE$263,'Cumulative Table'!$X$8:$X$201,'Daily Report'!$P$7:$P$263)</f>
        <v>0</v>
      </c>
      <c r="U135" s="47">
        <f>SUMIF('Daily Report'!$AE$7:$AE$263,'Cumulative Table'!$X$7:$X$201,'Daily Report'!$Q$7:$Q$263)</f>
        <v>0</v>
      </c>
      <c r="V135" s="49"/>
      <c r="W135" s="50" t="e">
        <f t="shared" ca="1" si="26"/>
        <v>#DIV/0!</v>
      </c>
      <c r="X135" s="18" t="str">
        <f t="shared" si="27"/>
        <v>BR1109WH5L</v>
      </c>
      <c r="Z135" s="6">
        <f>SUMIFS('Daily Report'!$H$7:$H$263, 'Daily Report'!$AD$7:$AD$263, TRIM($X135)&amp;"KIEM", 'Daily Report'!$A$7:$A$263, VALUE(#REF!))</f>
        <v>0</v>
      </c>
    </row>
    <row r="136" spans="1:28" ht="15.75" thickBot="1">
      <c r="A136" s="268"/>
      <c r="B136" s="270"/>
      <c r="C136" s="270"/>
      <c r="D136" s="45" t="s">
        <v>161</v>
      </c>
      <c r="E136" s="19" t="s">
        <v>176</v>
      </c>
      <c r="F136" s="20"/>
      <c r="G136" s="14">
        <f ca="1">SUMIF('Daily Report'!$AD$7:$AD$263,'Cumulative Table'!X$7:$X$201&amp;"KIEM",'Daily Report'!$H$7:$H$199)</f>
        <v>0</v>
      </c>
      <c r="H136" s="14">
        <f>SUMIF('Daily Report'!$AD$7:$AD$263,'Cumulative Table'!$X$7:$X$201&amp;"TAIKIEM",'Daily Report'!$H$7:$H$263)</f>
        <v>0</v>
      </c>
      <c r="I136" s="14">
        <f>SUMIF('Daily Report'!$AE$7:$AE$263,'Cumulative Table'!$X$7:$X$201,'Daily Report'!$I$7:$I$263)</f>
        <v>0</v>
      </c>
      <c r="J136" s="14">
        <f>SUMIF('Daily Report'!AE135:AE391,'Cumulative Table'!X136:X329,'Daily Report'!R135:R391)</f>
        <v>0</v>
      </c>
      <c r="K136" s="21"/>
      <c r="L136" s="19"/>
      <c r="M136" s="19"/>
      <c r="N136" s="22">
        <f t="shared" si="25"/>
        <v>0</v>
      </c>
      <c r="O136" s="46">
        <f>SUMIF('Daily Report'!$AE$7:$AE$263,'Cumulative Table'!$X$7:$X$201,'Daily Report'!$K$7:$K$263)</f>
        <v>0</v>
      </c>
      <c r="P136" s="47">
        <f>SUMIF('Daily Report'!$AE$7:$AE$263,'Cumulative Table'!$X$7:$X$201,'Daily Report'!$L$7:$L$263)</f>
        <v>0</v>
      </c>
      <c r="Q136" s="47">
        <f>SUMIF('Daily Report'!$AE$7:$AE$263,'Cumulative Table'!$X$7:$X$201,'Daily Report'!$M$7:$M$263)</f>
        <v>0</v>
      </c>
      <c r="R136" s="47">
        <f>SUMIF('Daily Report'!$AE$7:$AE$263,'Cumulative Table'!$X$7:$X$201,'Daily Report'!$N$7:$N$263)</f>
        <v>0</v>
      </c>
      <c r="S136" s="47">
        <f>SUMIF('Daily Report'!$AE$7:$AE$263,'Cumulative Table'!$X$7:$X$201,'Daily Report'!$O$7:$O$263)</f>
        <v>0</v>
      </c>
      <c r="T136" s="47">
        <f>SUMIF('Daily Report'!$AE$7:$AE$263,'Cumulative Table'!$X$8:$X$201,'Daily Report'!$P$7:$P$263)</f>
        <v>0</v>
      </c>
      <c r="U136" s="47">
        <f>SUMIF('Daily Report'!$AE$7:$AE$263,'Cumulative Table'!$X$7:$X$201,'Daily Report'!$Q$7:$Q$263)</f>
        <v>0</v>
      </c>
      <c r="V136" s="49"/>
      <c r="W136" s="50" t="e">
        <f t="shared" ca="1" si="26"/>
        <v>#DIV/0!</v>
      </c>
      <c r="X136" s="18" t="str">
        <f t="shared" si="27"/>
        <v>BR1109WH6L</v>
      </c>
      <c r="Z136" s="6">
        <f>SUMIFS('Daily Report'!$H$7:$H$263, 'Daily Report'!$AD$7:$AD$263, TRIM($X136)&amp;"KIEM", 'Daily Report'!$A$7:$A$263, VALUE(#REF!))</f>
        <v>0</v>
      </c>
    </row>
    <row r="137" spans="1:28" s="26" customFormat="1" ht="21.75" customHeight="1" thickBot="1">
      <c r="A137" s="271" t="s">
        <v>114</v>
      </c>
      <c r="B137" s="272"/>
      <c r="C137" s="272"/>
      <c r="D137" s="272"/>
      <c r="E137" s="273"/>
      <c r="F137" s="23">
        <f t="shared" ref="F137" si="28">SUM(F128:F136)</f>
        <v>0</v>
      </c>
      <c r="G137" s="23">
        <f ca="1">SUM(G128:G136)</f>
        <v>2</v>
      </c>
      <c r="H137" s="25">
        <f t="shared" ref="H137" si="29">SUM(H128:H136)</f>
        <v>0</v>
      </c>
      <c r="I137" s="35">
        <f>SUM(I128:I136)</f>
        <v>2</v>
      </c>
      <c r="J137" s="23">
        <f t="shared" ref="J137:V137" si="30">SUM(J128:J136)</f>
        <v>0</v>
      </c>
      <c r="K137" s="24">
        <f t="shared" si="30"/>
        <v>0</v>
      </c>
      <c r="L137" s="24">
        <f t="shared" si="30"/>
        <v>0</v>
      </c>
      <c r="M137" s="23">
        <f t="shared" si="30"/>
        <v>0</v>
      </c>
      <c r="N137" s="25">
        <f t="shared" si="30"/>
        <v>0</v>
      </c>
      <c r="O137" s="25">
        <f t="shared" si="30"/>
        <v>0</v>
      </c>
      <c r="P137" s="25">
        <f t="shared" si="30"/>
        <v>0</v>
      </c>
      <c r="Q137" s="25">
        <f t="shared" si="30"/>
        <v>0</v>
      </c>
      <c r="R137" s="25">
        <f t="shared" si="30"/>
        <v>0</v>
      </c>
      <c r="S137" s="25">
        <f t="shared" si="30"/>
        <v>0</v>
      </c>
      <c r="T137" s="25">
        <f t="shared" si="30"/>
        <v>0</v>
      </c>
      <c r="U137" s="25">
        <f t="shared" si="30"/>
        <v>0</v>
      </c>
      <c r="V137" s="25">
        <f t="shared" si="30"/>
        <v>0</v>
      </c>
      <c r="W137" s="36">
        <f t="shared" ca="1" si="26"/>
        <v>0</v>
      </c>
      <c r="X137" s="18"/>
    </row>
    <row r="138" spans="1:28">
      <c r="A138" s="274" t="s">
        <v>115</v>
      </c>
      <c r="B138" s="275"/>
      <c r="C138" s="51" t="s">
        <v>116</v>
      </c>
      <c r="D138" s="253" t="s">
        <v>117</v>
      </c>
      <c r="E138" s="253"/>
      <c r="F138" s="253"/>
      <c r="G138" s="254"/>
      <c r="H138" s="51" t="s">
        <v>118</v>
      </c>
      <c r="I138" s="278" t="s">
        <v>119</v>
      </c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80"/>
      <c r="X138" s="18"/>
    </row>
    <row r="139" spans="1:28">
      <c r="A139" s="249"/>
      <c r="B139" s="276"/>
      <c r="C139" s="52" t="s">
        <v>120</v>
      </c>
      <c r="D139" s="258" t="s">
        <v>121</v>
      </c>
      <c r="E139" s="258"/>
      <c r="F139" s="258"/>
      <c r="G139" s="259"/>
      <c r="H139" s="53" t="s">
        <v>122</v>
      </c>
      <c r="I139" s="281" t="s">
        <v>123</v>
      </c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3"/>
      <c r="X139" s="18"/>
    </row>
    <row r="140" spans="1:28" ht="15.75" thickBot="1">
      <c r="A140" s="249"/>
      <c r="B140" s="276"/>
      <c r="C140" s="53" t="s">
        <v>124</v>
      </c>
      <c r="D140" s="284" t="s">
        <v>125</v>
      </c>
      <c r="E140" s="284"/>
      <c r="F140" s="284"/>
      <c r="G140" s="285"/>
      <c r="H140" s="53" t="s">
        <v>126</v>
      </c>
      <c r="I140" s="286" t="s">
        <v>127</v>
      </c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8"/>
      <c r="X140" s="18"/>
      <c r="AB140" s="54"/>
    </row>
    <row r="141" spans="1:28" ht="15.75" thickBot="1">
      <c r="A141" s="251"/>
      <c r="B141" s="277"/>
      <c r="C141" s="55" t="s">
        <v>128</v>
      </c>
      <c r="D141" s="56"/>
      <c r="E141" s="56"/>
      <c r="F141" s="56"/>
      <c r="G141" s="56"/>
      <c r="H141" s="56"/>
      <c r="I141" s="57"/>
      <c r="J141" s="57"/>
      <c r="K141" s="57"/>
      <c r="L141" s="57"/>
      <c r="M141" s="57"/>
      <c r="N141" s="57"/>
      <c r="W141" s="34"/>
      <c r="X141" s="18"/>
    </row>
    <row r="142" spans="1:28">
      <c r="A142" s="247" t="s">
        <v>129</v>
      </c>
      <c r="B142" s="248"/>
      <c r="C142" s="27" t="s">
        <v>203</v>
      </c>
      <c r="D142" s="253" t="s">
        <v>130</v>
      </c>
      <c r="E142" s="253"/>
      <c r="F142" s="253"/>
      <c r="G142" s="254"/>
      <c r="H142" s="27" t="s">
        <v>131</v>
      </c>
      <c r="I142" s="255" t="s">
        <v>132</v>
      </c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7"/>
      <c r="X142" s="18"/>
    </row>
    <row r="143" spans="1:28">
      <c r="A143" s="249"/>
      <c r="B143" s="250"/>
      <c r="C143" s="28" t="s">
        <v>133</v>
      </c>
      <c r="D143" s="258" t="s">
        <v>134</v>
      </c>
      <c r="E143" s="258"/>
      <c r="F143" s="258"/>
      <c r="G143" s="259"/>
      <c r="H143" s="29" t="s">
        <v>135</v>
      </c>
      <c r="I143" s="255" t="s">
        <v>136</v>
      </c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7"/>
      <c r="X143" s="18"/>
    </row>
    <row r="144" spans="1:28">
      <c r="A144" s="249"/>
      <c r="B144" s="250"/>
      <c r="C144" s="29" t="s">
        <v>204</v>
      </c>
      <c r="D144" s="260" t="s">
        <v>137</v>
      </c>
      <c r="E144" s="260"/>
      <c r="F144" s="260"/>
      <c r="G144" s="261"/>
      <c r="H144" s="29" t="s">
        <v>138</v>
      </c>
      <c r="I144" s="255" t="s">
        <v>139</v>
      </c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7"/>
      <c r="X144" s="18"/>
    </row>
    <row r="145" spans="1:24" ht="15.75" thickBot="1">
      <c r="A145" s="251"/>
      <c r="B145" s="252"/>
      <c r="C145" s="262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18" t="str">
        <f t="shared" ref="X145" si="31">A145&amp;D145&amp;E145</f>
        <v/>
      </c>
    </row>
  </sheetData>
  <mergeCells count="170">
    <mergeCell ref="Y7:Y15"/>
    <mergeCell ref="AA7:AA15"/>
    <mergeCell ref="AC7:AC15"/>
    <mergeCell ref="AF7:AF15"/>
    <mergeCell ref="AG7:AG15"/>
    <mergeCell ref="Y5:AE5"/>
    <mergeCell ref="K105:N105"/>
    <mergeCell ref="K106:N106"/>
    <mergeCell ref="AF5:AI5"/>
    <mergeCell ref="Y26:AE26"/>
    <mergeCell ref="AF26:AI26"/>
    <mergeCell ref="Y27:Z27"/>
    <mergeCell ref="AA27:AB27"/>
    <mergeCell ref="AC27:AD27"/>
    <mergeCell ref="Y28:Y36"/>
    <mergeCell ref="AA28:AA36"/>
    <mergeCell ref="AC28:AC36"/>
    <mergeCell ref="AF28:AF36"/>
    <mergeCell ref="AG28:AG36"/>
    <mergeCell ref="A108:A115"/>
    <mergeCell ref="B108:B115"/>
    <mergeCell ref="C108:C115"/>
    <mergeCell ref="A101:B104"/>
    <mergeCell ref="D101:G101"/>
    <mergeCell ref="Y6:Z6"/>
    <mergeCell ref="AA6:AB6"/>
    <mergeCell ref="AC6:AD6"/>
    <mergeCell ref="I101:W101"/>
    <mergeCell ref="D102:G102"/>
    <mergeCell ref="I102:W102"/>
    <mergeCell ref="D103:G103"/>
    <mergeCell ref="I103:W103"/>
    <mergeCell ref="C104:W104"/>
    <mergeCell ref="A96:E96"/>
    <mergeCell ref="A97:B100"/>
    <mergeCell ref="D97:G97"/>
    <mergeCell ref="I97:W97"/>
    <mergeCell ref="D98:G98"/>
    <mergeCell ref="I98:W98"/>
    <mergeCell ref="D99:G99"/>
    <mergeCell ref="I99:W99"/>
    <mergeCell ref="K85:N85"/>
    <mergeCell ref="K86:N86"/>
    <mergeCell ref="A121:B124"/>
    <mergeCell ref="D121:G121"/>
    <mergeCell ref="I121:W121"/>
    <mergeCell ref="D122:G122"/>
    <mergeCell ref="I122:W122"/>
    <mergeCell ref="D123:G123"/>
    <mergeCell ref="I123:W123"/>
    <mergeCell ref="C124:W124"/>
    <mergeCell ref="A116:E116"/>
    <mergeCell ref="A117:B120"/>
    <mergeCell ref="D117:G117"/>
    <mergeCell ref="I117:W117"/>
    <mergeCell ref="D118:G118"/>
    <mergeCell ref="I118:W118"/>
    <mergeCell ref="D119:G119"/>
    <mergeCell ref="I119:W119"/>
    <mergeCell ref="A88:A95"/>
    <mergeCell ref="B88:B95"/>
    <mergeCell ref="C88:C95"/>
    <mergeCell ref="A81:B84"/>
    <mergeCell ref="D81:G81"/>
    <mergeCell ref="I81:W81"/>
    <mergeCell ref="D82:G82"/>
    <mergeCell ref="I82:W82"/>
    <mergeCell ref="D83:G83"/>
    <mergeCell ref="I83:W83"/>
    <mergeCell ref="C84:W84"/>
    <mergeCell ref="A76:E76"/>
    <mergeCell ref="A77:B80"/>
    <mergeCell ref="D77:G77"/>
    <mergeCell ref="I77:W77"/>
    <mergeCell ref="D78:G78"/>
    <mergeCell ref="I78:W78"/>
    <mergeCell ref="D79:G79"/>
    <mergeCell ref="I79:W79"/>
    <mergeCell ref="D62:G62"/>
    <mergeCell ref="I62:W62"/>
    <mergeCell ref="D63:G63"/>
    <mergeCell ref="I63:W63"/>
    <mergeCell ref="D59:G59"/>
    <mergeCell ref="I59:W59"/>
    <mergeCell ref="K65:N65"/>
    <mergeCell ref="K66:N66"/>
    <mergeCell ref="A68:A75"/>
    <mergeCell ref="B68:B75"/>
    <mergeCell ref="C68:C75"/>
    <mergeCell ref="A57:B60"/>
    <mergeCell ref="D57:G57"/>
    <mergeCell ref="I61:W61"/>
    <mergeCell ref="D39:G39"/>
    <mergeCell ref="I39:W39"/>
    <mergeCell ref="A41:B44"/>
    <mergeCell ref="D41:G41"/>
    <mergeCell ref="I41:W41"/>
    <mergeCell ref="D42:G42"/>
    <mergeCell ref="I57:W57"/>
    <mergeCell ref="D58:G58"/>
    <mergeCell ref="I58:W58"/>
    <mergeCell ref="K46:N46"/>
    <mergeCell ref="A48:A55"/>
    <mergeCell ref="B48:B55"/>
    <mergeCell ref="C48:C55"/>
    <mergeCell ref="A56:E56"/>
    <mergeCell ref="I42:W42"/>
    <mergeCell ref="C44:W44"/>
    <mergeCell ref="A37:B40"/>
    <mergeCell ref="D37:G37"/>
    <mergeCell ref="I37:W37"/>
    <mergeCell ref="D38:G38"/>
    <mergeCell ref="I38:W38"/>
    <mergeCell ref="A3:W3"/>
    <mergeCell ref="I21:W21"/>
    <mergeCell ref="I22:W22"/>
    <mergeCell ref="I23:W23"/>
    <mergeCell ref="C24:W24"/>
    <mergeCell ref="C7:C15"/>
    <mergeCell ref="B7:B15"/>
    <mergeCell ref="A7:A15"/>
    <mergeCell ref="A21:B24"/>
    <mergeCell ref="D21:G21"/>
    <mergeCell ref="D22:G22"/>
    <mergeCell ref="D23:G23"/>
    <mergeCell ref="A2:V2"/>
    <mergeCell ref="A1:W1"/>
    <mergeCell ref="A61:B64"/>
    <mergeCell ref="D61:G61"/>
    <mergeCell ref="C64:W64"/>
    <mergeCell ref="K45:N45"/>
    <mergeCell ref="I17:W17"/>
    <mergeCell ref="I18:W18"/>
    <mergeCell ref="K4:N4"/>
    <mergeCell ref="K5:N5"/>
    <mergeCell ref="A16:E16"/>
    <mergeCell ref="A17:B20"/>
    <mergeCell ref="D17:G17"/>
    <mergeCell ref="D18:G18"/>
    <mergeCell ref="D19:G19"/>
    <mergeCell ref="I19:W19"/>
    <mergeCell ref="K25:N25"/>
    <mergeCell ref="K26:N26"/>
    <mergeCell ref="A28:A35"/>
    <mergeCell ref="B28:B35"/>
    <mergeCell ref="C28:C35"/>
    <mergeCell ref="A36:E36"/>
    <mergeCell ref="D43:G43"/>
    <mergeCell ref="I43:W43"/>
    <mergeCell ref="A142:B145"/>
    <mergeCell ref="D142:G142"/>
    <mergeCell ref="I142:W142"/>
    <mergeCell ref="D143:G143"/>
    <mergeCell ref="I143:W143"/>
    <mergeCell ref="D144:G144"/>
    <mergeCell ref="I144:W144"/>
    <mergeCell ref="C145:W145"/>
    <mergeCell ref="K125:N125"/>
    <mergeCell ref="K126:N126"/>
    <mergeCell ref="A128:A136"/>
    <mergeCell ref="B128:B136"/>
    <mergeCell ref="C128:C136"/>
    <mergeCell ref="A137:E137"/>
    <mergeCell ref="A138:B141"/>
    <mergeCell ref="D138:G138"/>
    <mergeCell ref="I138:W138"/>
    <mergeCell ref="D139:G139"/>
    <mergeCell ref="I139:W139"/>
    <mergeCell ref="D140:G140"/>
    <mergeCell ref="I140:W140"/>
  </mergeCells>
  <phoneticPr fontId="41" type="noConversion"/>
  <dataValidations count="2">
    <dataValidation type="list" allowBlank="1" showInputMessage="1" showErrorMessage="1" sqref="H17:H19 A17:C20 H37:H39 A37:C40 H57:H59 A57:C60 H77:H79 A77:C80 H97:H99 A97:C100 H117:H119 A117:C120 H138:H140 A138:C141">
      <formula1>#REF!</formula1>
    </dataValidation>
    <dataValidation type="list" allowBlank="1" showInputMessage="1" showErrorMessage="1" sqref="A128:A136">
      <formula1>"HS8078,BR1144,BR9071,BR9070,HS8073,BR1109"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'Daily Report'!$A$7:$A$76</xm:f>
          </x14:formula1>
          <xm:sqref>AB38</xm:sqref>
        </x14:dataValidation>
        <x14:dataValidation type="list" allowBlank="1" showInputMessage="1" showErrorMessage="1">
          <x14:formula1>
            <xm:f>'Daily Report'!$A$7:$A$200</xm:f>
          </x14:formula1>
          <xm:sqref>AA48</xm:sqref>
        </x14:dataValidation>
        <x14:dataValidation type="list" allowBlank="1" showInputMessage="1" showErrorMessage="1">
          <x14:formula1>
            <xm:f>'Dữ Liệu'!$C$7:$C$14</xm:f>
          </x14:formula1>
          <xm:sqref>A7:A15 A28:A35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3" sqref="U13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9"/>
  <sheetViews>
    <sheetView zoomScaleNormal="100" workbookViewId="0">
      <selection activeCell="A30" sqref="A30"/>
    </sheetView>
  </sheetViews>
  <sheetFormatPr defaultColWidth="9" defaultRowHeight="15"/>
  <cols>
    <col min="1" max="1" width="23.28515625" style="409" customWidth="1"/>
    <col min="2" max="2" width="15.85546875" style="464" customWidth="1"/>
    <col min="3" max="3" width="11.7109375" style="464" customWidth="1"/>
    <col min="4" max="4" width="24.140625" style="464" customWidth="1"/>
    <col min="5" max="5" width="10" style="464" customWidth="1"/>
    <col min="6" max="6" width="17.42578125" style="464" customWidth="1"/>
    <col min="7" max="7" width="11.42578125" style="409" customWidth="1"/>
    <col min="8" max="8" width="19.85546875" style="409" customWidth="1"/>
    <col min="9" max="9" width="21" style="409" customWidth="1"/>
    <col min="10" max="10" width="9" style="410"/>
    <col min="11" max="11" width="14.5703125" style="410" bestFit="1" customWidth="1"/>
    <col min="12" max="256" width="9" style="410"/>
    <col min="257" max="257" width="23.28515625" style="410" customWidth="1"/>
    <col min="258" max="258" width="15.85546875" style="410" customWidth="1"/>
    <col min="259" max="259" width="11.7109375" style="410" customWidth="1"/>
    <col min="260" max="260" width="24.140625" style="410" customWidth="1"/>
    <col min="261" max="261" width="10" style="410" customWidth="1"/>
    <col min="262" max="262" width="17.42578125" style="410" customWidth="1"/>
    <col min="263" max="263" width="11.42578125" style="410" customWidth="1"/>
    <col min="264" max="264" width="19.85546875" style="410" customWidth="1"/>
    <col min="265" max="265" width="21" style="410" customWidth="1"/>
    <col min="266" max="266" width="9" style="410"/>
    <col min="267" max="267" width="14.5703125" style="410" bestFit="1" customWidth="1"/>
    <col min="268" max="512" width="9" style="410"/>
    <col min="513" max="513" width="23.28515625" style="410" customWidth="1"/>
    <col min="514" max="514" width="15.85546875" style="410" customWidth="1"/>
    <col min="515" max="515" width="11.7109375" style="410" customWidth="1"/>
    <col min="516" max="516" width="24.140625" style="410" customWidth="1"/>
    <col min="517" max="517" width="10" style="410" customWidth="1"/>
    <col min="518" max="518" width="17.42578125" style="410" customWidth="1"/>
    <col min="519" max="519" width="11.42578125" style="410" customWidth="1"/>
    <col min="520" max="520" width="19.85546875" style="410" customWidth="1"/>
    <col min="521" max="521" width="21" style="410" customWidth="1"/>
    <col min="522" max="522" width="9" style="410"/>
    <col min="523" max="523" width="14.5703125" style="410" bestFit="1" customWidth="1"/>
    <col min="524" max="768" width="9" style="410"/>
    <col min="769" max="769" width="23.28515625" style="410" customWidth="1"/>
    <col min="770" max="770" width="15.85546875" style="410" customWidth="1"/>
    <col min="771" max="771" width="11.7109375" style="410" customWidth="1"/>
    <col min="772" max="772" width="24.140625" style="410" customWidth="1"/>
    <col min="773" max="773" width="10" style="410" customWidth="1"/>
    <col min="774" max="774" width="17.42578125" style="410" customWidth="1"/>
    <col min="775" max="775" width="11.42578125" style="410" customWidth="1"/>
    <col min="776" max="776" width="19.85546875" style="410" customWidth="1"/>
    <col min="777" max="777" width="21" style="410" customWidth="1"/>
    <col min="778" max="778" width="9" style="410"/>
    <col min="779" max="779" width="14.5703125" style="410" bestFit="1" customWidth="1"/>
    <col min="780" max="1024" width="9" style="410"/>
    <col min="1025" max="1025" width="23.28515625" style="410" customWidth="1"/>
    <col min="1026" max="1026" width="15.85546875" style="410" customWidth="1"/>
    <col min="1027" max="1027" width="11.7109375" style="410" customWidth="1"/>
    <col min="1028" max="1028" width="24.140625" style="410" customWidth="1"/>
    <col min="1029" max="1029" width="10" style="410" customWidth="1"/>
    <col min="1030" max="1030" width="17.42578125" style="410" customWidth="1"/>
    <col min="1031" max="1031" width="11.42578125" style="410" customWidth="1"/>
    <col min="1032" max="1032" width="19.85546875" style="410" customWidth="1"/>
    <col min="1033" max="1033" width="21" style="410" customWidth="1"/>
    <col min="1034" max="1034" width="9" style="410"/>
    <col min="1035" max="1035" width="14.5703125" style="410" bestFit="1" customWidth="1"/>
    <col min="1036" max="1280" width="9" style="410"/>
    <col min="1281" max="1281" width="23.28515625" style="410" customWidth="1"/>
    <col min="1282" max="1282" width="15.85546875" style="410" customWidth="1"/>
    <col min="1283" max="1283" width="11.7109375" style="410" customWidth="1"/>
    <col min="1284" max="1284" width="24.140625" style="410" customWidth="1"/>
    <col min="1285" max="1285" width="10" style="410" customWidth="1"/>
    <col min="1286" max="1286" width="17.42578125" style="410" customWidth="1"/>
    <col min="1287" max="1287" width="11.42578125" style="410" customWidth="1"/>
    <col min="1288" max="1288" width="19.85546875" style="410" customWidth="1"/>
    <col min="1289" max="1289" width="21" style="410" customWidth="1"/>
    <col min="1290" max="1290" width="9" style="410"/>
    <col min="1291" max="1291" width="14.5703125" style="410" bestFit="1" customWidth="1"/>
    <col min="1292" max="1536" width="9" style="410"/>
    <col min="1537" max="1537" width="23.28515625" style="410" customWidth="1"/>
    <col min="1538" max="1538" width="15.85546875" style="410" customWidth="1"/>
    <col min="1539" max="1539" width="11.7109375" style="410" customWidth="1"/>
    <col min="1540" max="1540" width="24.140625" style="410" customWidth="1"/>
    <col min="1541" max="1541" width="10" style="410" customWidth="1"/>
    <col min="1542" max="1542" width="17.42578125" style="410" customWidth="1"/>
    <col min="1543" max="1543" width="11.42578125" style="410" customWidth="1"/>
    <col min="1544" max="1544" width="19.85546875" style="410" customWidth="1"/>
    <col min="1545" max="1545" width="21" style="410" customWidth="1"/>
    <col min="1546" max="1546" width="9" style="410"/>
    <col min="1547" max="1547" width="14.5703125" style="410" bestFit="1" customWidth="1"/>
    <col min="1548" max="1792" width="9" style="410"/>
    <col min="1793" max="1793" width="23.28515625" style="410" customWidth="1"/>
    <col min="1794" max="1794" width="15.85546875" style="410" customWidth="1"/>
    <col min="1795" max="1795" width="11.7109375" style="410" customWidth="1"/>
    <col min="1796" max="1796" width="24.140625" style="410" customWidth="1"/>
    <col min="1797" max="1797" width="10" style="410" customWidth="1"/>
    <col min="1798" max="1798" width="17.42578125" style="410" customWidth="1"/>
    <col min="1799" max="1799" width="11.42578125" style="410" customWidth="1"/>
    <col min="1800" max="1800" width="19.85546875" style="410" customWidth="1"/>
    <col min="1801" max="1801" width="21" style="410" customWidth="1"/>
    <col min="1802" max="1802" width="9" style="410"/>
    <col min="1803" max="1803" width="14.5703125" style="410" bestFit="1" customWidth="1"/>
    <col min="1804" max="2048" width="9" style="410"/>
    <col min="2049" max="2049" width="23.28515625" style="410" customWidth="1"/>
    <col min="2050" max="2050" width="15.85546875" style="410" customWidth="1"/>
    <col min="2051" max="2051" width="11.7109375" style="410" customWidth="1"/>
    <col min="2052" max="2052" width="24.140625" style="410" customWidth="1"/>
    <col min="2053" max="2053" width="10" style="410" customWidth="1"/>
    <col min="2054" max="2054" width="17.42578125" style="410" customWidth="1"/>
    <col min="2055" max="2055" width="11.42578125" style="410" customWidth="1"/>
    <col min="2056" max="2056" width="19.85546875" style="410" customWidth="1"/>
    <col min="2057" max="2057" width="21" style="410" customWidth="1"/>
    <col min="2058" max="2058" width="9" style="410"/>
    <col min="2059" max="2059" width="14.5703125" style="410" bestFit="1" customWidth="1"/>
    <col min="2060" max="2304" width="9" style="410"/>
    <col min="2305" max="2305" width="23.28515625" style="410" customWidth="1"/>
    <col min="2306" max="2306" width="15.85546875" style="410" customWidth="1"/>
    <col min="2307" max="2307" width="11.7109375" style="410" customWidth="1"/>
    <col min="2308" max="2308" width="24.140625" style="410" customWidth="1"/>
    <col min="2309" max="2309" width="10" style="410" customWidth="1"/>
    <col min="2310" max="2310" width="17.42578125" style="410" customWidth="1"/>
    <col min="2311" max="2311" width="11.42578125" style="410" customWidth="1"/>
    <col min="2312" max="2312" width="19.85546875" style="410" customWidth="1"/>
    <col min="2313" max="2313" width="21" style="410" customWidth="1"/>
    <col min="2314" max="2314" width="9" style="410"/>
    <col min="2315" max="2315" width="14.5703125" style="410" bestFit="1" customWidth="1"/>
    <col min="2316" max="2560" width="9" style="410"/>
    <col min="2561" max="2561" width="23.28515625" style="410" customWidth="1"/>
    <col min="2562" max="2562" width="15.85546875" style="410" customWidth="1"/>
    <col min="2563" max="2563" width="11.7109375" style="410" customWidth="1"/>
    <col min="2564" max="2564" width="24.140625" style="410" customWidth="1"/>
    <col min="2565" max="2565" width="10" style="410" customWidth="1"/>
    <col min="2566" max="2566" width="17.42578125" style="410" customWidth="1"/>
    <col min="2567" max="2567" width="11.42578125" style="410" customWidth="1"/>
    <col min="2568" max="2568" width="19.85546875" style="410" customWidth="1"/>
    <col min="2569" max="2569" width="21" style="410" customWidth="1"/>
    <col min="2570" max="2570" width="9" style="410"/>
    <col min="2571" max="2571" width="14.5703125" style="410" bestFit="1" customWidth="1"/>
    <col min="2572" max="2816" width="9" style="410"/>
    <col min="2817" max="2817" width="23.28515625" style="410" customWidth="1"/>
    <col min="2818" max="2818" width="15.85546875" style="410" customWidth="1"/>
    <col min="2819" max="2819" width="11.7109375" style="410" customWidth="1"/>
    <col min="2820" max="2820" width="24.140625" style="410" customWidth="1"/>
    <col min="2821" max="2821" width="10" style="410" customWidth="1"/>
    <col min="2822" max="2822" width="17.42578125" style="410" customWidth="1"/>
    <col min="2823" max="2823" width="11.42578125" style="410" customWidth="1"/>
    <col min="2824" max="2824" width="19.85546875" style="410" customWidth="1"/>
    <col min="2825" max="2825" width="21" style="410" customWidth="1"/>
    <col min="2826" max="2826" width="9" style="410"/>
    <col min="2827" max="2827" width="14.5703125" style="410" bestFit="1" customWidth="1"/>
    <col min="2828" max="3072" width="9" style="410"/>
    <col min="3073" max="3073" width="23.28515625" style="410" customWidth="1"/>
    <col min="3074" max="3074" width="15.85546875" style="410" customWidth="1"/>
    <col min="3075" max="3075" width="11.7109375" style="410" customWidth="1"/>
    <col min="3076" max="3076" width="24.140625" style="410" customWidth="1"/>
    <col min="3077" max="3077" width="10" style="410" customWidth="1"/>
    <col min="3078" max="3078" width="17.42578125" style="410" customWidth="1"/>
    <col min="3079" max="3079" width="11.42578125" style="410" customWidth="1"/>
    <col min="3080" max="3080" width="19.85546875" style="410" customWidth="1"/>
    <col min="3081" max="3081" width="21" style="410" customWidth="1"/>
    <col min="3082" max="3082" width="9" style="410"/>
    <col min="3083" max="3083" width="14.5703125" style="410" bestFit="1" customWidth="1"/>
    <col min="3084" max="3328" width="9" style="410"/>
    <col min="3329" max="3329" width="23.28515625" style="410" customWidth="1"/>
    <col min="3330" max="3330" width="15.85546875" style="410" customWidth="1"/>
    <col min="3331" max="3331" width="11.7109375" style="410" customWidth="1"/>
    <col min="3332" max="3332" width="24.140625" style="410" customWidth="1"/>
    <col min="3333" max="3333" width="10" style="410" customWidth="1"/>
    <col min="3334" max="3334" width="17.42578125" style="410" customWidth="1"/>
    <col min="3335" max="3335" width="11.42578125" style="410" customWidth="1"/>
    <col min="3336" max="3336" width="19.85546875" style="410" customWidth="1"/>
    <col min="3337" max="3337" width="21" style="410" customWidth="1"/>
    <col min="3338" max="3338" width="9" style="410"/>
    <col min="3339" max="3339" width="14.5703125" style="410" bestFit="1" customWidth="1"/>
    <col min="3340" max="3584" width="9" style="410"/>
    <col min="3585" max="3585" width="23.28515625" style="410" customWidth="1"/>
    <col min="3586" max="3586" width="15.85546875" style="410" customWidth="1"/>
    <col min="3587" max="3587" width="11.7109375" style="410" customWidth="1"/>
    <col min="3588" max="3588" width="24.140625" style="410" customWidth="1"/>
    <col min="3589" max="3589" width="10" style="410" customWidth="1"/>
    <col min="3590" max="3590" width="17.42578125" style="410" customWidth="1"/>
    <col min="3591" max="3591" width="11.42578125" style="410" customWidth="1"/>
    <col min="3592" max="3592" width="19.85546875" style="410" customWidth="1"/>
    <col min="3593" max="3593" width="21" style="410" customWidth="1"/>
    <col min="3594" max="3594" width="9" style="410"/>
    <col min="3595" max="3595" width="14.5703125" style="410" bestFit="1" customWidth="1"/>
    <col min="3596" max="3840" width="9" style="410"/>
    <col min="3841" max="3841" width="23.28515625" style="410" customWidth="1"/>
    <col min="3842" max="3842" width="15.85546875" style="410" customWidth="1"/>
    <col min="3843" max="3843" width="11.7109375" style="410" customWidth="1"/>
    <col min="3844" max="3844" width="24.140625" style="410" customWidth="1"/>
    <col min="3845" max="3845" width="10" style="410" customWidth="1"/>
    <col min="3846" max="3846" width="17.42578125" style="410" customWidth="1"/>
    <col min="3847" max="3847" width="11.42578125" style="410" customWidth="1"/>
    <col min="3848" max="3848" width="19.85546875" style="410" customWidth="1"/>
    <col min="3849" max="3849" width="21" style="410" customWidth="1"/>
    <col min="3850" max="3850" width="9" style="410"/>
    <col min="3851" max="3851" width="14.5703125" style="410" bestFit="1" customWidth="1"/>
    <col min="3852" max="4096" width="9" style="410"/>
    <col min="4097" max="4097" width="23.28515625" style="410" customWidth="1"/>
    <col min="4098" max="4098" width="15.85546875" style="410" customWidth="1"/>
    <col min="4099" max="4099" width="11.7109375" style="410" customWidth="1"/>
    <col min="4100" max="4100" width="24.140625" style="410" customWidth="1"/>
    <col min="4101" max="4101" width="10" style="410" customWidth="1"/>
    <col min="4102" max="4102" width="17.42578125" style="410" customWidth="1"/>
    <col min="4103" max="4103" width="11.42578125" style="410" customWidth="1"/>
    <col min="4104" max="4104" width="19.85546875" style="410" customWidth="1"/>
    <col min="4105" max="4105" width="21" style="410" customWidth="1"/>
    <col min="4106" max="4106" width="9" style="410"/>
    <col min="4107" max="4107" width="14.5703125" style="410" bestFit="1" customWidth="1"/>
    <col min="4108" max="4352" width="9" style="410"/>
    <col min="4353" max="4353" width="23.28515625" style="410" customWidth="1"/>
    <col min="4354" max="4354" width="15.85546875" style="410" customWidth="1"/>
    <col min="4355" max="4355" width="11.7109375" style="410" customWidth="1"/>
    <col min="4356" max="4356" width="24.140625" style="410" customWidth="1"/>
    <col min="4357" max="4357" width="10" style="410" customWidth="1"/>
    <col min="4358" max="4358" width="17.42578125" style="410" customWidth="1"/>
    <col min="4359" max="4359" width="11.42578125" style="410" customWidth="1"/>
    <col min="4360" max="4360" width="19.85546875" style="410" customWidth="1"/>
    <col min="4361" max="4361" width="21" style="410" customWidth="1"/>
    <col min="4362" max="4362" width="9" style="410"/>
    <col min="4363" max="4363" width="14.5703125" style="410" bestFit="1" customWidth="1"/>
    <col min="4364" max="4608" width="9" style="410"/>
    <col min="4609" max="4609" width="23.28515625" style="410" customWidth="1"/>
    <col min="4610" max="4610" width="15.85546875" style="410" customWidth="1"/>
    <col min="4611" max="4611" width="11.7109375" style="410" customWidth="1"/>
    <col min="4612" max="4612" width="24.140625" style="410" customWidth="1"/>
    <col min="4613" max="4613" width="10" style="410" customWidth="1"/>
    <col min="4614" max="4614" width="17.42578125" style="410" customWidth="1"/>
    <col min="4615" max="4615" width="11.42578125" style="410" customWidth="1"/>
    <col min="4616" max="4616" width="19.85546875" style="410" customWidth="1"/>
    <col min="4617" max="4617" width="21" style="410" customWidth="1"/>
    <col min="4618" max="4618" width="9" style="410"/>
    <col min="4619" max="4619" width="14.5703125" style="410" bestFit="1" customWidth="1"/>
    <col min="4620" max="4864" width="9" style="410"/>
    <col min="4865" max="4865" width="23.28515625" style="410" customWidth="1"/>
    <col min="4866" max="4866" width="15.85546875" style="410" customWidth="1"/>
    <col min="4867" max="4867" width="11.7109375" style="410" customWidth="1"/>
    <col min="4868" max="4868" width="24.140625" style="410" customWidth="1"/>
    <col min="4869" max="4869" width="10" style="410" customWidth="1"/>
    <col min="4870" max="4870" width="17.42578125" style="410" customWidth="1"/>
    <col min="4871" max="4871" width="11.42578125" style="410" customWidth="1"/>
    <col min="4872" max="4872" width="19.85546875" style="410" customWidth="1"/>
    <col min="4873" max="4873" width="21" style="410" customWidth="1"/>
    <col min="4874" max="4874" width="9" style="410"/>
    <col min="4875" max="4875" width="14.5703125" style="410" bestFit="1" customWidth="1"/>
    <col min="4876" max="5120" width="9" style="410"/>
    <col min="5121" max="5121" width="23.28515625" style="410" customWidth="1"/>
    <col min="5122" max="5122" width="15.85546875" style="410" customWidth="1"/>
    <col min="5123" max="5123" width="11.7109375" style="410" customWidth="1"/>
    <col min="5124" max="5124" width="24.140625" style="410" customWidth="1"/>
    <col min="5125" max="5125" width="10" style="410" customWidth="1"/>
    <col min="5126" max="5126" width="17.42578125" style="410" customWidth="1"/>
    <col min="5127" max="5127" width="11.42578125" style="410" customWidth="1"/>
    <col min="5128" max="5128" width="19.85546875" style="410" customWidth="1"/>
    <col min="5129" max="5129" width="21" style="410" customWidth="1"/>
    <col min="5130" max="5130" width="9" style="410"/>
    <col min="5131" max="5131" width="14.5703125" style="410" bestFit="1" customWidth="1"/>
    <col min="5132" max="5376" width="9" style="410"/>
    <col min="5377" max="5377" width="23.28515625" style="410" customWidth="1"/>
    <col min="5378" max="5378" width="15.85546875" style="410" customWidth="1"/>
    <col min="5379" max="5379" width="11.7109375" style="410" customWidth="1"/>
    <col min="5380" max="5380" width="24.140625" style="410" customWidth="1"/>
    <col min="5381" max="5381" width="10" style="410" customWidth="1"/>
    <col min="5382" max="5382" width="17.42578125" style="410" customWidth="1"/>
    <col min="5383" max="5383" width="11.42578125" style="410" customWidth="1"/>
    <col min="5384" max="5384" width="19.85546875" style="410" customWidth="1"/>
    <col min="5385" max="5385" width="21" style="410" customWidth="1"/>
    <col min="5386" max="5386" width="9" style="410"/>
    <col min="5387" max="5387" width="14.5703125" style="410" bestFit="1" customWidth="1"/>
    <col min="5388" max="5632" width="9" style="410"/>
    <col min="5633" max="5633" width="23.28515625" style="410" customWidth="1"/>
    <col min="5634" max="5634" width="15.85546875" style="410" customWidth="1"/>
    <col min="5635" max="5635" width="11.7109375" style="410" customWidth="1"/>
    <col min="5636" max="5636" width="24.140625" style="410" customWidth="1"/>
    <col min="5637" max="5637" width="10" style="410" customWidth="1"/>
    <col min="5638" max="5638" width="17.42578125" style="410" customWidth="1"/>
    <col min="5639" max="5639" width="11.42578125" style="410" customWidth="1"/>
    <col min="5640" max="5640" width="19.85546875" style="410" customWidth="1"/>
    <col min="5641" max="5641" width="21" style="410" customWidth="1"/>
    <col min="5642" max="5642" width="9" style="410"/>
    <col min="5643" max="5643" width="14.5703125" style="410" bestFit="1" customWidth="1"/>
    <col min="5644" max="5888" width="9" style="410"/>
    <col min="5889" max="5889" width="23.28515625" style="410" customWidth="1"/>
    <col min="5890" max="5890" width="15.85546875" style="410" customWidth="1"/>
    <col min="5891" max="5891" width="11.7109375" style="410" customWidth="1"/>
    <col min="5892" max="5892" width="24.140625" style="410" customWidth="1"/>
    <col min="5893" max="5893" width="10" style="410" customWidth="1"/>
    <col min="5894" max="5894" width="17.42578125" style="410" customWidth="1"/>
    <col min="5895" max="5895" width="11.42578125" style="410" customWidth="1"/>
    <col min="5896" max="5896" width="19.85546875" style="410" customWidth="1"/>
    <col min="5897" max="5897" width="21" style="410" customWidth="1"/>
    <col min="5898" max="5898" width="9" style="410"/>
    <col min="5899" max="5899" width="14.5703125" style="410" bestFit="1" customWidth="1"/>
    <col min="5900" max="6144" width="9" style="410"/>
    <col min="6145" max="6145" width="23.28515625" style="410" customWidth="1"/>
    <col min="6146" max="6146" width="15.85546875" style="410" customWidth="1"/>
    <col min="6147" max="6147" width="11.7109375" style="410" customWidth="1"/>
    <col min="6148" max="6148" width="24.140625" style="410" customWidth="1"/>
    <col min="6149" max="6149" width="10" style="410" customWidth="1"/>
    <col min="6150" max="6150" width="17.42578125" style="410" customWidth="1"/>
    <col min="6151" max="6151" width="11.42578125" style="410" customWidth="1"/>
    <col min="6152" max="6152" width="19.85546875" style="410" customWidth="1"/>
    <col min="6153" max="6153" width="21" style="410" customWidth="1"/>
    <col min="6154" max="6154" width="9" style="410"/>
    <col min="6155" max="6155" width="14.5703125" style="410" bestFit="1" customWidth="1"/>
    <col min="6156" max="6400" width="9" style="410"/>
    <col min="6401" max="6401" width="23.28515625" style="410" customWidth="1"/>
    <col min="6402" max="6402" width="15.85546875" style="410" customWidth="1"/>
    <col min="6403" max="6403" width="11.7109375" style="410" customWidth="1"/>
    <col min="6404" max="6404" width="24.140625" style="410" customWidth="1"/>
    <col min="6405" max="6405" width="10" style="410" customWidth="1"/>
    <col min="6406" max="6406" width="17.42578125" style="410" customWidth="1"/>
    <col min="6407" max="6407" width="11.42578125" style="410" customWidth="1"/>
    <col min="6408" max="6408" width="19.85546875" style="410" customWidth="1"/>
    <col min="6409" max="6409" width="21" style="410" customWidth="1"/>
    <col min="6410" max="6410" width="9" style="410"/>
    <col min="6411" max="6411" width="14.5703125" style="410" bestFit="1" customWidth="1"/>
    <col min="6412" max="6656" width="9" style="410"/>
    <col min="6657" max="6657" width="23.28515625" style="410" customWidth="1"/>
    <col min="6658" max="6658" width="15.85546875" style="410" customWidth="1"/>
    <col min="6659" max="6659" width="11.7109375" style="410" customWidth="1"/>
    <col min="6660" max="6660" width="24.140625" style="410" customWidth="1"/>
    <col min="6661" max="6661" width="10" style="410" customWidth="1"/>
    <col min="6662" max="6662" width="17.42578125" style="410" customWidth="1"/>
    <col min="6663" max="6663" width="11.42578125" style="410" customWidth="1"/>
    <col min="6664" max="6664" width="19.85546875" style="410" customWidth="1"/>
    <col min="6665" max="6665" width="21" style="410" customWidth="1"/>
    <col min="6666" max="6666" width="9" style="410"/>
    <col min="6667" max="6667" width="14.5703125" style="410" bestFit="1" customWidth="1"/>
    <col min="6668" max="6912" width="9" style="410"/>
    <col min="6913" max="6913" width="23.28515625" style="410" customWidth="1"/>
    <col min="6914" max="6914" width="15.85546875" style="410" customWidth="1"/>
    <col min="6915" max="6915" width="11.7109375" style="410" customWidth="1"/>
    <col min="6916" max="6916" width="24.140625" style="410" customWidth="1"/>
    <col min="6917" max="6917" width="10" style="410" customWidth="1"/>
    <col min="6918" max="6918" width="17.42578125" style="410" customWidth="1"/>
    <col min="6919" max="6919" width="11.42578125" style="410" customWidth="1"/>
    <col min="6920" max="6920" width="19.85546875" style="410" customWidth="1"/>
    <col min="6921" max="6921" width="21" style="410" customWidth="1"/>
    <col min="6922" max="6922" width="9" style="410"/>
    <col min="6923" max="6923" width="14.5703125" style="410" bestFit="1" customWidth="1"/>
    <col min="6924" max="7168" width="9" style="410"/>
    <col min="7169" max="7169" width="23.28515625" style="410" customWidth="1"/>
    <col min="7170" max="7170" width="15.85546875" style="410" customWidth="1"/>
    <col min="7171" max="7171" width="11.7109375" style="410" customWidth="1"/>
    <col min="7172" max="7172" width="24.140625" style="410" customWidth="1"/>
    <col min="7173" max="7173" width="10" style="410" customWidth="1"/>
    <col min="7174" max="7174" width="17.42578125" style="410" customWidth="1"/>
    <col min="7175" max="7175" width="11.42578125" style="410" customWidth="1"/>
    <col min="7176" max="7176" width="19.85546875" style="410" customWidth="1"/>
    <col min="7177" max="7177" width="21" style="410" customWidth="1"/>
    <col min="7178" max="7178" width="9" style="410"/>
    <col min="7179" max="7179" width="14.5703125" style="410" bestFit="1" customWidth="1"/>
    <col min="7180" max="7424" width="9" style="410"/>
    <col min="7425" max="7425" width="23.28515625" style="410" customWidth="1"/>
    <col min="7426" max="7426" width="15.85546875" style="410" customWidth="1"/>
    <col min="7427" max="7427" width="11.7109375" style="410" customWidth="1"/>
    <col min="7428" max="7428" width="24.140625" style="410" customWidth="1"/>
    <col min="7429" max="7429" width="10" style="410" customWidth="1"/>
    <col min="7430" max="7430" width="17.42578125" style="410" customWidth="1"/>
    <col min="7431" max="7431" width="11.42578125" style="410" customWidth="1"/>
    <col min="7432" max="7432" width="19.85546875" style="410" customWidth="1"/>
    <col min="7433" max="7433" width="21" style="410" customWidth="1"/>
    <col min="7434" max="7434" width="9" style="410"/>
    <col min="7435" max="7435" width="14.5703125" style="410" bestFit="1" customWidth="1"/>
    <col min="7436" max="7680" width="9" style="410"/>
    <col min="7681" max="7681" width="23.28515625" style="410" customWidth="1"/>
    <col min="7682" max="7682" width="15.85546875" style="410" customWidth="1"/>
    <col min="7683" max="7683" width="11.7109375" style="410" customWidth="1"/>
    <col min="7684" max="7684" width="24.140625" style="410" customWidth="1"/>
    <col min="7685" max="7685" width="10" style="410" customWidth="1"/>
    <col min="7686" max="7686" width="17.42578125" style="410" customWidth="1"/>
    <col min="7687" max="7687" width="11.42578125" style="410" customWidth="1"/>
    <col min="7688" max="7688" width="19.85546875" style="410" customWidth="1"/>
    <col min="7689" max="7689" width="21" style="410" customWidth="1"/>
    <col min="7690" max="7690" width="9" style="410"/>
    <col min="7691" max="7691" width="14.5703125" style="410" bestFit="1" customWidth="1"/>
    <col min="7692" max="7936" width="9" style="410"/>
    <col min="7937" max="7937" width="23.28515625" style="410" customWidth="1"/>
    <col min="7938" max="7938" width="15.85546875" style="410" customWidth="1"/>
    <col min="7939" max="7939" width="11.7109375" style="410" customWidth="1"/>
    <col min="7940" max="7940" width="24.140625" style="410" customWidth="1"/>
    <col min="7941" max="7941" width="10" style="410" customWidth="1"/>
    <col min="7942" max="7942" width="17.42578125" style="410" customWidth="1"/>
    <col min="7943" max="7943" width="11.42578125" style="410" customWidth="1"/>
    <col min="7944" max="7944" width="19.85546875" style="410" customWidth="1"/>
    <col min="7945" max="7945" width="21" style="410" customWidth="1"/>
    <col min="7946" max="7946" width="9" style="410"/>
    <col min="7947" max="7947" width="14.5703125" style="410" bestFit="1" customWidth="1"/>
    <col min="7948" max="8192" width="9" style="410"/>
    <col min="8193" max="8193" width="23.28515625" style="410" customWidth="1"/>
    <col min="8194" max="8194" width="15.85546875" style="410" customWidth="1"/>
    <col min="8195" max="8195" width="11.7109375" style="410" customWidth="1"/>
    <col min="8196" max="8196" width="24.140625" style="410" customWidth="1"/>
    <col min="8197" max="8197" width="10" style="410" customWidth="1"/>
    <col min="8198" max="8198" width="17.42578125" style="410" customWidth="1"/>
    <col min="8199" max="8199" width="11.42578125" style="410" customWidth="1"/>
    <col min="8200" max="8200" width="19.85546875" style="410" customWidth="1"/>
    <col min="8201" max="8201" width="21" style="410" customWidth="1"/>
    <col min="8202" max="8202" width="9" style="410"/>
    <col min="8203" max="8203" width="14.5703125" style="410" bestFit="1" customWidth="1"/>
    <col min="8204" max="8448" width="9" style="410"/>
    <col min="8449" max="8449" width="23.28515625" style="410" customWidth="1"/>
    <col min="8450" max="8450" width="15.85546875" style="410" customWidth="1"/>
    <col min="8451" max="8451" width="11.7109375" style="410" customWidth="1"/>
    <col min="8452" max="8452" width="24.140625" style="410" customWidth="1"/>
    <col min="8453" max="8453" width="10" style="410" customWidth="1"/>
    <col min="8454" max="8454" width="17.42578125" style="410" customWidth="1"/>
    <col min="8455" max="8455" width="11.42578125" style="410" customWidth="1"/>
    <col min="8456" max="8456" width="19.85546875" style="410" customWidth="1"/>
    <col min="8457" max="8457" width="21" style="410" customWidth="1"/>
    <col min="8458" max="8458" width="9" style="410"/>
    <col min="8459" max="8459" width="14.5703125" style="410" bestFit="1" customWidth="1"/>
    <col min="8460" max="8704" width="9" style="410"/>
    <col min="8705" max="8705" width="23.28515625" style="410" customWidth="1"/>
    <col min="8706" max="8706" width="15.85546875" style="410" customWidth="1"/>
    <col min="8707" max="8707" width="11.7109375" style="410" customWidth="1"/>
    <col min="8708" max="8708" width="24.140625" style="410" customWidth="1"/>
    <col min="8709" max="8709" width="10" style="410" customWidth="1"/>
    <col min="8710" max="8710" width="17.42578125" style="410" customWidth="1"/>
    <col min="8711" max="8711" width="11.42578125" style="410" customWidth="1"/>
    <col min="8712" max="8712" width="19.85546875" style="410" customWidth="1"/>
    <col min="8713" max="8713" width="21" style="410" customWidth="1"/>
    <col min="8714" max="8714" width="9" style="410"/>
    <col min="8715" max="8715" width="14.5703125" style="410" bestFit="1" customWidth="1"/>
    <col min="8716" max="8960" width="9" style="410"/>
    <col min="8961" max="8961" width="23.28515625" style="410" customWidth="1"/>
    <col min="8962" max="8962" width="15.85546875" style="410" customWidth="1"/>
    <col min="8963" max="8963" width="11.7109375" style="410" customWidth="1"/>
    <col min="8964" max="8964" width="24.140625" style="410" customWidth="1"/>
    <col min="8965" max="8965" width="10" style="410" customWidth="1"/>
    <col min="8966" max="8966" width="17.42578125" style="410" customWidth="1"/>
    <col min="8967" max="8967" width="11.42578125" style="410" customWidth="1"/>
    <col min="8968" max="8968" width="19.85546875" style="410" customWidth="1"/>
    <col min="8969" max="8969" width="21" style="410" customWidth="1"/>
    <col min="8970" max="8970" width="9" style="410"/>
    <col min="8971" max="8971" width="14.5703125" style="410" bestFit="1" customWidth="1"/>
    <col min="8972" max="9216" width="9" style="410"/>
    <col min="9217" max="9217" width="23.28515625" style="410" customWidth="1"/>
    <col min="9218" max="9218" width="15.85546875" style="410" customWidth="1"/>
    <col min="9219" max="9219" width="11.7109375" style="410" customWidth="1"/>
    <col min="9220" max="9220" width="24.140625" style="410" customWidth="1"/>
    <col min="9221" max="9221" width="10" style="410" customWidth="1"/>
    <col min="9222" max="9222" width="17.42578125" style="410" customWidth="1"/>
    <col min="9223" max="9223" width="11.42578125" style="410" customWidth="1"/>
    <col min="9224" max="9224" width="19.85546875" style="410" customWidth="1"/>
    <col min="9225" max="9225" width="21" style="410" customWidth="1"/>
    <col min="9226" max="9226" width="9" style="410"/>
    <col min="9227" max="9227" width="14.5703125" style="410" bestFit="1" customWidth="1"/>
    <col min="9228" max="9472" width="9" style="410"/>
    <col min="9473" max="9473" width="23.28515625" style="410" customWidth="1"/>
    <col min="9474" max="9474" width="15.85546875" style="410" customWidth="1"/>
    <col min="9475" max="9475" width="11.7109375" style="410" customWidth="1"/>
    <col min="9476" max="9476" width="24.140625" style="410" customWidth="1"/>
    <col min="9477" max="9477" width="10" style="410" customWidth="1"/>
    <col min="9478" max="9478" width="17.42578125" style="410" customWidth="1"/>
    <col min="9479" max="9479" width="11.42578125" style="410" customWidth="1"/>
    <col min="9480" max="9480" width="19.85546875" style="410" customWidth="1"/>
    <col min="9481" max="9481" width="21" style="410" customWidth="1"/>
    <col min="9482" max="9482" width="9" style="410"/>
    <col min="9483" max="9483" width="14.5703125" style="410" bestFit="1" customWidth="1"/>
    <col min="9484" max="9728" width="9" style="410"/>
    <col min="9729" max="9729" width="23.28515625" style="410" customWidth="1"/>
    <col min="9730" max="9730" width="15.85546875" style="410" customWidth="1"/>
    <col min="9731" max="9731" width="11.7109375" style="410" customWidth="1"/>
    <col min="9732" max="9732" width="24.140625" style="410" customWidth="1"/>
    <col min="9733" max="9733" width="10" style="410" customWidth="1"/>
    <col min="9734" max="9734" width="17.42578125" style="410" customWidth="1"/>
    <col min="9735" max="9735" width="11.42578125" style="410" customWidth="1"/>
    <col min="9736" max="9736" width="19.85546875" style="410" customWidth="1"/>
    <col min="9737" max="9737" width="21" style="410" customWidth="1"/>
    <col min="9738" max="9738" width="9" style="410"/>
    <col min="9739" max="9739" width="14.5703125" style="410" bestFit="1" customWidth="1"/>
    <col min="9740" max="9984" width="9" style="410"/>
    <col min="9985" max="9985" width="23.28515625" style="410" customWidth="1"/>
    <col min="9986" max="9986" width="15.85546875" style="410" customWidth="1"/>
    <col min="9987" max="9987" width="11.7109375" style="410" customWidth="1"/>
    <col min="9988" max="9988" width="24.140625" style="410" customWidth="1"/>
    <col min="9989" max="9989" width="10" style="410" customWidth="1"/>
    <col min="9990" max="9990" width="17.42578125" style="410" customWidth="1"/>
    <col min="9991" max="9991" width="11.42578125" style="410" customWidth="1"/>
    <col min="9992" max="9992" width="19.85546875" style="410" customWidth="1"/>
    <col min="9993" max="9993" width="21" style="410" customWidth="1"/>
    <col min="9994" max="9994" width="9" style="410"/>
    <col min="9995" max="9995" width="14.5703125" style="410" bestFit="1" customWidth="1"/>
    <col min="9996" max="10240" width="9" style="410"/>
    <col min="10241" max="10241" width="23.28515625" style="410" customWidth="1"/>
    <col min="10242" max="10242" width="15.85546875" style="410" customWidth="1"/>
    <col min="10243" max="10243" width="11.7109375" style="410" customWidth="1"/>
    <col min="10244" max="10244" width="24.140625" style="410" customWidth="1"/>
    <col min="10245" max="10245" width="10" style="410" customWidth="1"/>
    <col min="10246" max="10246" width="17.42578125" style="410" customWidth="1"/>
    <col min="10247" max="10247" width="11.42578125" style="410" customWidth="1"/>
    <col min="10248" max="10248" width="19.85546875" style="410" customWidth="1"/>
    <col min="10249" max="10249" width="21" style="410" customWidth="1"/>
    <col min="10250" max="10250" width="9" style="410"/>
    <col min="10251" max="10251" width="14.5703125" style="410" bestFit="1" customWidth="1"/>
    <col min="10252" max="10496" width="9" style="410"/>
    <col min="10497" max="10497" width="23.28515625" style="410" customWidth="1"/>
    <col min="10498" max="10498" width="15.85546875" style="410" customWidth="1"/>
    <col min="10499" max="10499" width="11.7109375" style="410" customWidth="1"/>
    <col min="10500" max="10500" width="24.140625" style="410" customWidth="1"/>
    <col min="10501" max="10501" width="10" style="410" customWidth="1"/>
    <col min="10502" max="10502" width="17.42578125" style="410" customWidth="1"/>
    <col min="10503" max="10503" width="11.42578125" style="410" customWidth="1"/>
    <col min="10504" max="10504" width="19.85546875" style="410" customWidth="1"/>
    <col min="10505" max="10505" width="21" style="410" customWidth="1"/>
    <col min="10506" max="10506" width="9" style="410"/>
    <col min="10507" max="10507" width="14.5703125" style="410" bestFit="1" customWidth="1"/>
    <col min="10508" max="10752" width="9" style="410"/>
    <col min="10753" max="10753" width="23.28515625" style="410" customWidth="1"/>
    <col min="10754" max="10754" width="15.85546875" style="410" customWidth="1"/>
    <col min="10755" max="10755" width="11.7109375" style="410" customWidth="1"/>
    <col min="10756" max="10756" width="24.140625" style="410" customWidth="1"/>
    <col min="10757" max="10757" width="10" style="410" customWidth="1"/>
    <col min="10758" max="10758" width="17.42578125" style="410" customWidth="1"/>
    <col min="10759" max="10759" width="11.42578125" style="410" customWidth="1"/>
    <col min="10760" max="10760" width="19.85546875" style="410" customWidth="1"/>
    <col min="10761" max="10761" width="21" style="410" customWidth="1"/>
    <col min="10762" max="10762" width="9" style="410"/>
    <col min="10763" max="10763" width="14.5703125" style="410" bestFit="1" customWidth="1"/>
    <col min="10764" max="11008" width="9" style="410"/>
    <col min="11009" max="11009" width="23.28515625" style="410" customWidth="1"/>
    <col min="11010" max="11010" width="15.85546875" style="410" customWidth="1"/>
    <col min="11011" max="11011" width="11.7109375" style="410" customWidth="1"/>
    <col min="11012" max="11012" width="24.140625" style="410" customWidth="1"/>
    <col min="11013" max="11013" width="10" style="410" customWidth="1"/>
    <col min="11014" max="11014" width="17.42578125" style="410" customWidth="1"/>
    <col min="11015" max="11015" width="11.42578125" style="410" customWidth="1"/>
    <col min="11016" max="11016" width="19.85546875" style="410" customWidth="1"/>
    <col min="11017" max="11017" width="21" style="410" customWidth="1"/>
    <col min="11018" max="11018" width="9" style="410"/>
    <col min="11019" max="11019" width="14.5703125" style="410" bestFit="1" customWidth="1"/>
    <col min="11020" max="11264" width="9" style="410"/>
    <col min="11265" max="11265" width="23.28515625" style="410" customWidth="1"/>
    <col min="11266" max="11266" width="15.85546875" style="410" customWidth="1"/>
    <col min="11267" max="11267" width="11.7109375" style="410" customWidth="1"/>
    <col min="11268" max="11268" width="24.140625" style="410" customWidth="1"/>
    <col min="11269" max="11269" width="10" style="410" customWidth="1"/>
    <col min="11270" max="11270" width="17.42578125" style="410" customWidth="1"/>
    <col min="11271" max="11271" width="11.42578125" style="410" customWidth="1"/>
    <col min="11272" max="11272" width="19.85546875" style="410" customWidth="1"/>
    <col min="11273" max="11273" width="21" style="410" customWidth="1"/>
    <col min="11274" max="11274" width="9" style="410"/>
    <col min="11275" max="11275" width="14.5703125" style="410" bestFit="1" customWidth="1"/>
    <col min="11276" max="11520" width="9" style="410"/>
    <col min="11521" max="11521" width="23.28515625" style="410" customWidth="1"/>
    <col min="11522" max="11522" width="15.85546875" style="410" customWidth="1"/>
    <col min="11523" max="11523" width="11.7109375" style="410" customWidth="1"/>
    <col min="11524" max="11524" width="24.140625" style="410" customWidth="1"/>
    <col min="11525" max="11525" width="10" style="410" customWidth="1"/>
    <col min="11526" max="11526" width="17.42578125" style="410" customWidth="1"/>
    <col min="11527" max="11527" width="11.42578125" style="410" customWidth="1"/>
    <col min="11528" max="11528" width="19.85546875" style="410" customWidth="1"/>
    <col min="11529" max="11529" width="21" style="410" customWidth="1"/>
    <col min="11530" max="11530" width="9" style="410"/>
    <col min="11531" max="11531" width="14.5703125" style="410" bestFit="1" customWidth="1"/>
    <col min="11532" max="11776" width="9" style="410"/>
    <col min="11777" max="11777" width="23.28515625" style="410" customWidth="1"/>
    <col min="11778" max="11778" width="15.85546875" style="410" customWidth="1"/>
    <col min="11779" max="11779" width="11.7109375" style="410" customWidth="1"/>
    <col min="11780" max="11780" width="24.140625" style="410" customWidth="1"/>
    <col min="11781" max="11781" width="10" style="410" customWidth="1"/>
    <col min="11782" max="11782" width="17.42578125" style="410" customWidth="1"/>
    <col min="11783" max="11783" width="11.42578125" style="410" customWidth="1"/>
    <col min="11784" max="11784" width="19.85546875" style="410" customWidth="1"/>
    <col min="11785" max="11785" width="21" style="410" customWidth="1"/>
    <col min="11786" max="11786" width="9" style="410"/>
    <col min="11787" max="11787" width="14.5703125" style="410" bestFit="1" customWidth="1"/>
    <col min="11788" max="12032" width="9" style="410"/>
    <col min="12033" max="12033" width="23.28515625" style="410" customWidth="1"/>
    <col min="12034" max="12034" width="15.85546875" style="410" customWidth="1"/>
    <col min="12035" max="12035" width="11.7109375" style="410" customWidth="1"/>
    <col min="12036" max="12036" width="24.140625" style="410" customWidth="1"/>
    <col min="12037" max="12037" width="10" style="410" customWidth="1"/>
    <col min="12038" max="12038" width="17.42578125" style="410" customWidth="1"/>
    <col min="12039" max="12039" width="11.42578125" style="410" customWidth="1"/>
    <col min="12040" max="12040" width="19.85546875" style="410" customWidth="1"/>
    <col min="12041" max="12041" width="21" style="410" customWidth="1"/>
    <col min="12042" max="12042" width="9" style="410"/>
    <col min="12043" max="12043" width="14.5703125" style="410" bestFit="1" customWidth="1"/>
    <col min="12044" max="12288" width="9" style="410"/>
    <col min="12289" max="12289" width="23.28515625" style="410" customWidth="1"/>
    <col min="12290" max="12290" width="15.85546875" style="410" customWidth="1"/>
    <col min="12291" max="12291" width="11.7109375" style="410" customWidth="1"/>
    <col min="12292" max="12292" width="24.140625" style="410" customWidth="1"/>
    <col min="12293" max="12293" width="10" style="410" customWidth="1"/>
    <col min="12294" max="12294" width="17.42578125" style="410" customWidth="1"/>
    <col min="12295" max="12295" width="11.42578125" style="410" customWidth="1"/>
    <col min="12296" max="12296" width="19.85546875" style="410" customWidth="1"/>
    <col min="12297" max="12297" width="21" style="410" customWidth="1"/>
    <col min="12298" max="12298" width="9" style="410"/>
    <col min="12299" max="12299" width="14.5703125" style="410" bestFit="1" customWidth="1"/>
    <col min="12300" max="12544" width="9" style="410"/>
    <col min="12545" max="12545" width="23.28515625" style="410" customWidth="1"/>
    <col min="12546" max="12546" width="15.85546875" style="410" customWidth="1"/>
    <col min="12547" max="12547" width="11.7109375" style="410" customWidth="1"/>
    <col min="12548" max="12548" width="24.140625" style="410" customWidth="1"/>
    <col min="12549" max="12549" width="10" style="410" customWidth="1"/>
    <col min="12550" max="12550" width="17.42578125" style="410" customWidth="1"/>
    <col min="12551" max="12551" width="11.42578125" style="410" customWidth="1"/>
    <col min="12552" max="12552" width="19.85546875" style="410" customWidth="1"/>
    <col min="12553" max="12553" width="21" style="410" customWidth="1"/>
    <col min="12554" max="12554" width="9" style="410"/>
    <col min="12555" max="12555" width="14.5703125" style="410" bestFit="1" customWidth="1"/>
    <col min="12556" max="12800" width="9" style="410"/>
    <col min="12801" max="12801" width="23.28515625" style="410" customWidth="1"/>
    <col min="12802" max="12802" width="15.85546875" style="410" customWidth="1"/>
    <col min="12803" max="12803" width="11.7109375" style="410" customWidth="1"/>
    <col min="12804" max="12804" width="24.140625" style="410" customWidth="1"/>
    <col min="12805" max="12805" width="10" style="410" customWidth="1"/>
    <col min="12806" max="12806" width="17.42578125" style="410" customWidth="1"/>
    <col min="12807" max="12807" width="11.42578125" style="410" customWidth="1"/>
    <col min="12808" max="12808" width="19.85546875" style="410" customWidth="1"/>
    <col min="12809" max="12809" width="21" style="410" customWidth="1"/>
    <col min="12810" max="12810" width="9" style="410"/>
    <col min="12811" max="12811" width="14.5703125" style="410" bestFit="1" customWidth="1"/>
    <col min="12812" max="13056" width="9" style="410"/>
    <col min="13057" max="13057" width="23.28515625" style="410" customWidth="1"/>
    <col min="13058" max="13058" width="15.85546875" style="410" customWidth="1"/>
    <col min="13059" max="13059" width="11.7109375" style="410" customWidth="1"/>
    <col min="13060" max="13060" width="24.140625" style="410" customWidth="1"/>
    <col min="13061" max="13061" width="10" style="410" customWidth="1"/>
    <col min="13062" max="13062" width="17.42578125" style="410" customWidth="1"/>
    <col min="13063" max="13063" width="11.42578125" style="410" customWidth="1"/>
    <col min="13064" max="13064" width="19.85546875" style="410" customWidth="1"/>
    <col min="13065" max="13065" width="21" style="410" customWidth="1"/>
    <col min="13066" max="13066" width="9" style="410"/>
    <col min="13067" max="13067" width="14.5703125" style="410" bestFit="1" customWidth="1"/>
    <col min="13068" max="13312" width="9" style="410"/>
    <col min="13313" max="13313" width="23.28515625" style="410" customWidth="1"/>
    <col min="13314" max="13314" width="15.85546875" style="410" customWidth="1"/>
    <col min="13315" max="13315" width="11.7109375" style="410" customWidth="1"/>
    <col min="13316" max="13316" width="24.140625" style="410" customWidth="1"/>
    <col min="13317" max="13317" width="10" style="410" customWidth="1"/>
    <col min="13318" max="13318" width="17.42578125" style="410" customWidth="1"/>
    <col min="13319" max="13319" width="11.42578125" style="410" customWidth="1"/>
    <col min="13320" max="13320" width="19.85546875" style="410" customWidth="1"/>
    <col min="13321" max="13321" width="21" style="410" customWidth="1"/>
    <col min="13322" max="13322" width="9" style="410"/>
    <col min="13323" max="13323" width="14.5703125" style="410" bestFit="1" customWidth="1"/>
    <col min="13324" max="13568" width="9" style="410"/>
    <col min="13569" max="13569" width="23.28515625" style="410" customWidth="1"/>
    <col min="13570" max="13570" width="15.85546875" style="410" customWidth="1"/>
    <col min="13571" max="13571" width="11.7109375" style="410" customWidth="1"/>
    <col min="13572" max="13572" width="24.140625" style="410" customWidth="1"/>
    <col min="13573" max="13573" width="10" style="410" customWidth="1"/>
    <col min="13574" max="13574" width="17.42578125" style="410" customWidth="1"/>
    <col min="13575" max="13575" width="11.42578125" style="410" customWidth="1"/>
    <col min="13576" max="13576" width="19.85546875" style="410" customWidth="1"/>
    <col min="13577" max="13577" width="21" style="410" customWidth="1"/>
    <col min="13578" max="13578" width="9" style="410"/>
    <col min="13579" max="13579" width="14.5703125" style="410" bestFit="1" customWidth="1"/>
    <col min="13580" max="13824" width="9" style="410"/>
    <col min="13825" max="13825" width="23.28515625" style="410" customWidth="1"/>
    <col min="13826" max="13826" width="15.85546875" style="410" customWidth="1"/>
    <col min="13827" max="13827" width="11.7109375" style="410" customWidth="1"/>
    <col min="13828" max="13828" width="24.140625" style="410" customWidth="1"/>
    <col min="13829" max="13829" width="10" style="410" customWidth="1"/>
    <col min="13830" max="13830" width="17.42578125" style="410" customWidth="1"/>
    <col min="13831" max="13831" width="11.42578125" style="410" customWidth="1"/>
    <col min="13832" max="13832" width="19.85546875" style="410" customWidth="1"/>
    <col min="13833" max="13833" width="21" style="410" customWidth="1"/>
    <col min="13834" max="13834" width="9" style="410"/>
    <col min="13835" max="13835" width="14.5703125" style="410" bestFit="1" customWidth="1"/>
    <col min="13836" max="14080" width="9" style="410"/>
    <col min="14081" max="14081" width="23.28515625" style="410" customWidth="1"/>
    <col min="14082" max="14082" width="15.85546875" style="410" customWidth="1"/>
    <col min="14083" max="14083" width="11.7109375" style="410" customWidth="1"/>
    <col min="14084" max="14084" width="24.140625" style="410" customWidth="1"/>
    <col min="14085" max="14085" width="10" style="410" customWidth="1"/>
    <col min="14086" max="14086" width="17.42578125" style="410" customWidth="1"/>
    <col min="14087" max="14087" width="11.42578125" style="410" customWidth="1"/>
    <col min="14088" max="14088" width="19.85546875" style="410" customWidth="1"/>
    <col min="14089" max="14089" width="21" style="410" customWidth="1"/>
    <col min="14090" max="14090" width="9" style="410"/>
    <col min="14091" max="14091" width="14.5703125" style="410" bestFit="1" customWidth="1"/>
    <col min="14092" max="14336" width="9" style="410"/>
    <col min="14337" max="14337" width="23.28515625" style="410" customWidth="1"/>
    <col min="14338" max="14338" width="15.85546875" style="410" customWidth="1"/>
    <col min="14339" max="14339" width="11.7109375" style="410" customWidth="1"/>
    <col min="14340" max="14340" width="24.140625" style="410" customWidth="1"/>
    <col min="14341" max="14341" width="10" style="410" customWidth="1"/>
    <col min="14342" max="14342" width="17.42578125" style="410" customWidth="1"/>
    <col min="14343" max="14343" width="11.42578125" style="410" customWidth="1"/>
    <col min="14344" max="14344" width="19.85546875" style="410" customWidth="1"/>
    <col min="14345" max="14345" width="21" style="410" customWidth="1"/>
    <col min="14346" max="14346" width="9" style="410"/>
    <col min="14347" max="14347" width="14.5703125" style="410" bestFit="1" customWidth="1"/>
    <col min="14348" max="14592" width="9" style="410"/>
    <col min="14593" max="14593" width="23.28515625" style="410" customWidth="1"/>
    <col min="14594" max="14594" width="15.85546875" style="410" customWidth="1"/>
    <col min="14595" max="14595" width="11.7109375" style="410" customWidth="1"/>
    <col min="14596" max="14596" width="24.140625" style="410" customWidth="1"/>
    <col min="14597" max="14597" width="10" style="410" customWidth="1"/>
    <col min="14598" max="14598" width="17.42578125" style="410" customWidth="1"/>
    <col min="14599" max="14599" width="11.42578125" style="410" customWidth="1"/>
    <col min="14600" max="14600" width="19.85546875" style="410" customWidth="1"/>
    <col min="14601" max="14601" width="21" style="410" customWidth="1"/>
    <col min="14602" max="14602" width="9" style="410"/>
    <col min="14603" max="14603" width="14.5703125" style="410" bestFit="1" customWidth="1"/>
    <col min="14604" max="14848" width="9" style="410"/>
    <col min="14849" max="14849" width="23.28515625" style="410" customWidth="1"/>
    <col min="14850" max="14850" width="15.85546875" style="410" customWidth="1"/>
    <col min="14851" max="14851" width="11.7109375" style="410" customWidth="1"/>
    <col min="14852" max="14852" width="24.140625" style="410" customWidth="1"/>
    <col min="14853" max="14853" width="10" style="410" customWidth="1"/>
    <col min="14854" max="14854" width="17.42578125" style="410" customWidth="1"/>
    <col min="14855" max="14855" width="11.42578125" style="410" customWidth="1"/>
    <col min="14856" max="14856" width="19.85546875" style="410" customWidth="1"/>
    <col min="14857" max="14857" width="21" style="410" customWidth="1"/>
    <col min="14858" max="14858" width="9" style="410"/>
    <col min="14859" max="14859" width="14.5703125" style="410" bestFit="1" customWidth="1"/>
    <col min="14860" max="15104" width="9" style="410"/>
    <col min="15105" max="15105" width="23.28515625" style="410" customWidth="1"/>
    <col min="15106" max="15106" width="15.85546875" style="410" customWidth="1"/>
    <col min="15107" max="15107" width="11.7109375" style="410" customWidth="1"/>
    <col min="15108" max="15108" width="24.140625" style="410" customWidth="1"/>
    <col min="15109" max="15109" width="10" style="410" customWidth="1"/>
    <col min="15110" max="15110" width="17.42578125" style="410" customWidth="1"/>
    <col min="15111" max="15111" width="11.42578125" style="410" customWidth="1"/>
    <col min="15112" max="15112" width="19.85546875" style="410" customWidth="1"/>
    <col min="15113" max="15113" width="21" style="410" customWidth="1"/>
    <col min="15114" max="15114" width="9" style="410"/>
    <col min="15115" max="15115" width="14.5703125" style="410" bestFit="1" customWidth="1"/>
    <col min="15116" max="15360" width="9" style="410"/>
    <col min="15361" max="15361" width="23.28515625" style="410" customWidth="1"/>
    <col min="15362" max="15362" width="15.85546875" style="410" customWidth="1"/>
    <col min="15363" max="15363" width="11.7109375" style="410" customWidth="1"/>
    <col min="15364" max="15364" width="24.140625" style="410" customWidth="1"/>
    <col min="15365" max="15365" width="10" style="410" customWidth="1"/>
    <col min="15366" max="15366" width="17.42578125" style="410" customWidth="1"/>
    <col min="15367" max="15367" width="11.42578125" style="410" customWidth="1"/>
    <col min="15368" max="15368" width="19.85546875" style="410" customWidth="1"/>
    <col min="15369" max="15369" width="21" style="410" customWidth="1"/>
    <col min="15370" max="15370" width="9" style="410"/>
    <col min="15371" max="15371" width="14.5703125" style="410" bestFit="1" customWidth="1"/>
    <col min="15372" max="15616" width="9" style="410"/>
    <col min="15617" max="15617" width="23.28515625" style="410" customWidth="1"/>
    <col min="15618" max="15618" width="15.85546875" style="410" customWidth="1"/>
    <col min="15619" max="15619" width="11.7109375" style="410" customWidth="1"/>
    <col min="15620" max="15620" width="24.140625" style="410" customWidth="1"/>
    <col min="15621" max="15621" width="10" style="410" customWidth="1"/>
    <col min="15622" max="15622" width="17.42578125" style="410" customWidth="1"/>
    <col min="15623" max="15623" width="11.42578125" style="410" customWidth="1"/>
    <col min="15624" max="15624" width="19.85546875" style="410" customWidth="1"/>
    <col min="15625" max="15625" width="21" style="410" customWidth="1"/>
    <col min="15626" max="15626" width="9" style="410"/>
    <col min="15627" max="15627" width="14.5703125" style="410" bestFit="1" customWidth="1"/>
    <col min="15628" max="15872" width="9" style="410"/>
    <col min="15873" max="15873" width="23.28515625" style="410" customWidth="1"/>
    <col min="15874" max="15874" width="15.85546875" style="410" customWidth="1"/>
    <col min="15875" max="15875" width="11.7109375" style="410" customWidth="1"/>
    <col min="15876" max="15876" width="24.140625" style="410" customWidth="1"/>
    <col min="15877" max="15877" width="10" style="410" customWidth="1"/>
    <col min="15878" max="15878" width="17.42578125" style="410" customWidth="1"/>
    <col min="15879" max="15879" width="11.42578125" style="410" customWidth="1"/>
    <col min="15880" max="15880" width="19.85546875" style="410" customWidth="1"/>
    <col min="15881" max="15881" width="21" style="410" customWidth="1"/>
    <col min="15882" max="15882" width="9" style="410"/>
    <col min="15883" max="15883" width="14.5703125" style="410" bestFit="1" customWidth="1"/>
    <col min="15884" max="16128" width="9" style="410"/>
    <col min="16129" max="16129" width="23.28515625" style="410" customWidth="1"/>
    <col min="16130" max="16130" width="15.85546875" style="410" customWidth="1"/>
    <col min="16131" max="16131" width="11.7109375" style="410" customWidth="1"/>
    <col min="16132" max="16132" width="24.140625" style="410" customWidth="1"/>
    <col min="16133" max="16133" width="10" style="410" customWidth="1"/>
    <col min="16134" max="16134" width="17.42578125" style="410" customWidth="1"/>
    <col min="16135" max="16135" width="11.42578125" style="410" customWidth="1"/>
    <col min="16136" max="16136" width="19.85546875" style="410" customWidth="1"/>
    <col min="16137" max="16137" width="21" style="410" customWidth="1"/>
    <col min="16138" max="16138" width="9" style="410"/>
    <col min="16139" max="16139" width="14.5703125" style="410" bestFit="1" customWidth="1"/>
    <col min="16140" max="16384" width="9" style="410"/>
  </cols>
  <sheetData>
    <row r="1" spans="1:11" s="356" customFormat="1" ht="27.75" customHeight="1">
      <c r="A1" s="353"/>
      <c r="B1" s="354" t="s">
        <v>233</v>
      </c>
      <c r="C1" s="354"/>
      <c r="D1" s="354"/>
      <c r="E1" s="354"/>
      <c r="F1" s="354"/>
      <c r="G1" s="354"/>
      <c r="H1" s="354"/>
      <c r="I1" s="355"/>
    </row>
    <row r="2" spans="1:11" s="356" customFormat="1" ht="43.5" customHeight="1">
      <c r="A2" s="353"/>
      <c r="B2" s="373" t="s">
        <v>234</v>
      </c>
      <c r="C2" s="373"/>
      <c r="D2" s="373"/>
      <c r="E2" s="373"/>
      <c r="F2" s="373"/>
      <c r="G2" s="373"/>
      <c r="H2" s="374" t="s">
        <v>261</v>
      </c>
      <c r="I2" s="355"/>
    </row>
    <row r="3" spans="1:11" s="356" customFormat="1" ht="24" customHeight="1">
      <c r="A3" s="357"/>
      <c r="B3" s="424"/>
      <c r="C3" s="424"/>
      <c r="D3" s="425"/>
      <c r="E3" s="425"/>
      <c r="F3" s="426"/>
      <c r="G3" s="358"/>
      <c r="H3" s="359" t="s">
        <v>262</v>
      </c>
      <c r="I3" s="355"/>
    </row>
    <row r="4" spans="1:11" s="356" customFormat="1" ht="62.25" customHeight="1" thickBot="1">
      <c r="A4" s="360" t="s">
        <v>263</v>
      </c>
      <c r="B4" s="360"/>
      <c r="C4" s="360"/>
      <c r="D4" s="360"/>
      <c r="E4" s="360"/>
      <c r="F4" s="360"/>
      <c r="G4" s="360"/>
      <c r="H4" s="360"/>
      <c r="I4" s="360"/>
    </row>
    <row r="5" spans="1:11" s="376" customFormat="1" ht="75" customHeight="1" thickBot="1">
      <c r="A5" s="361" t="s">
        <v>235</v>
      </c>
      <c r="B5" s="427" t="s">
        <v>236</v>
      </c>
      <c r="C5" s="427" t="s">
        <v>237</v>
      </c>
      <c r="D5" s="427" t="s">
        <v>238</v>
      </c>
      <c r="E5" s="427" t="s">
        <v>283</v>
      </c>
      <c r="F5" s="428" t="s">
        <v>284</v>
      </c>
      <c r="G5" s="362" t="s">
        <v>264</v>
      </c>
      <c r="H5" s="362" t="s">
        <v>265</v>
      </c>
      <c r="I5" s="363" t="s">
        <v>239</v>
      </c>
      <c r="J5" s="375"/>
    </row>
    <row r="6" spans="1:11" s="382" customFormat="1" ht="19.5" customHeight="1">
      <c r="A6" s="377" t="s">
        <v>266</v>
      </c>
      <c r="B6" s="429">
        <v>86102</v>
      </c>
      <c r="C6" s="429" t="s">
        <v>267</v>
      </c>
      <c r="D6" s="417" t="s">
        <v>281</v>
      </c>
      <c r="E6" s="430"/>
      <c r="F6" s="419">
        <v>3281</v>
      </c>
      <c r="G6" s="378">
        <v>0.23</v>
      </c>
      <c r="H6" s="379">
        <f t="shared" ref="H6:H15" si="0">F6*G6</f>
        <v>754.63</v>
      </c>
      <c r="I6" s="380"/>
      <c r="J6" s="381"/>
      <c r="K6" s="381"/>
    </row>
    <row r="7" spans="1:11" s="382" customFormat="1" ht="19.5" customHeight="1">
      <c r="A7" s="383"/>
      <c r="B7" s="431"/>
      <c r="C7" s="431"/>
      <c r="D7" s="417" t="s">
        <v>282</v>
      </c>
      <c r="E7" s="430"/>
      <c r="F7" s="419">
        <v>517</v>
      </c>
      <c r="G7" s="378">
        <v>0.23</v>
      </c>
      <c r="H7" s="379">
        <f t="shared" si="0"/>
        <v>118.91000000000001</v>
      </c>
      <c r="I7" s="384"/>
      <c r="J7" s="381"/>
      <c r="K7" s="381"/>
    </row>
    <row r="8" spans="1:11" s="382" customFormat="1" ht="19.5" customHeight="1">
      <c r="A8" s="377" t="s">
        <v>268</v>
      </c>
      <c r="B8" s="429">
        <v>86104</v>
      </c>
      <c r="C8" s="429" t="s">
        <v>267</v>
      </c>
      <c r="D8" s="417" t="s">
        <v>281</v>
      </c>
      <c r="E8" s="430"/>
      <c r="F8" s="419">
        <v>2280</v>
      </c>
      <c r="G8" s="378">
        <v>0.23</v>
      </c>
      <c r="H8" s="379">
        <f t="shared" si="0"/>
        <v>524.4</v>
      </c>
      <c r="I8" s="380"/>
      <c r="J8" s="381"/>
      <c r="K8" s="381"/>
    </row>
    <row r="9" spans="1:11" s="382" customFormat="1" ht="19.5" customHeight="1">
      <c r="A9" s="383"/>
      <c r="B9" s="431"/>
      <c r="C9" s="431"/>
      <c r="D9" s="417" t="s">
        <v>282</v>
      </c>
      <c r="E9" s="430"/>
      <c r="F9" s="419">
        <v>312</v>
      </c>
      <c r="G9" s="378">
        <v>0.23</v>
      </c>
      <c r="H9" s="379">
        <f t="shared" si="0"/>
        <v>71.760000000000005</v>
      </c>
      <c r="I9" s="384"/>
      <c r="J9" s="381"/>
      <c r="K9" s="381"/>
    </row>
    <row r="10" spans="1:11" s="382" customFormat="1" ht="19.5" customHeight="1">
      <c r="A10" s="377" t="s">
        <v>266</v>
      </c>
      <c r="B10" s="429">
        <v>86111</v>
      </c>
      <c r="C10" s="429" t="s">
        <v>267</v>
      </c>
      <c r="D10" s="417" t="s">
        <v>281</v>
      </c>
      <c r="E10" s="430"/>
      <c r="F10" s="419">
        <v>2350</v>
      </c>
      <c r="G10" s="378">
        <v>0.23</v>
      </c>
      <c r="H10" s="379">
        <f t="shared" si="0"/>
        <v>540.5</v>
      </c>
      <c r="I10" s="380"/>
      <c r="J10" s="381"/>
      <c r="K10" s="381"/>
    </row>
    <row r="11" spans="1:11" s="382" customFormat="1" ht="19.5" customHeight="1">
      <c r="A11" s="383"/>
      <c r="B11" s="431"/>
      <c r="C11" s="431"/>
      <c r="D11" s="417" t="s">
        <v>282</v>
      </c>
      <c r="E11" s="430"/>
      <c r="F11" s="419">
        <v>282</v>
      </c>
      <c r="G11" s="378">
        <v>0.23</v>
      </c>
      <c r="H11" s="379">
        <f t="shared" si="0"/>
        <v>64.86</v>
      </c>
      <c r="I11" s="384"/>
      <c r="J11" s="381"/>
      <c r="K11" s="381"/>
    </row>
    <row r="12" spans="1:11" s="382" customFormat="1" ht="19.5" customHeight="1">
      <c r="A12" s="377" t="s">
        <v>269</v>
      </c>
      <c r="B12" s="429">
        <v>86121</v>
      </c>
      <c r="C12" s="429" t="s">
        <v>267</v>
      </c>
      <c r="D12" s="417" t="s">
        <v>281</v>
      </c>
      <c r="E12" s="430"/>
      <c r="F12" s="419">
        <v>3990</v>
      </c>
      <c r="G12" s="378">
        <v>0.23</v>
      </c>
      <c r="H12" s="379">
        <f t="shared" si="0"/>
        <v>917.7</v>
      </c>
      <c r="I12" s="380"/>
      <c r="J12" s="381"/>
      <c r="K12" s="381"/>
    </row>
    <row r="13" spans="1:11" s="382" customFormat="1" ht="19.5" customHeight="1">
      <c r="A13" s="383"/>
      <c r="B13" s="431"/>
      <c r="C13" s="431"/>
      <c r="D13" s="417" t="s">
        <v>282</v>
      </c>
      <c r="E13" s="430"/>
      <c r="F13" s="419">
        <v>432</v>
      </c>
      <c r="G13" s="378">
        <v>0.23</v>
      </c>
      <c r="H13" s="379">
        <f t="shared" si="0"/>
        <v>99.36</v>
      </c>
      <c r="I13" s="384"/>
      <c r="J13" s="381"/>
      <c r="K13" s="381"/>
    </row>
    <row r="14" spans="1:11" s="382" customFormat="1" ht="19.5" customHeight="1">
      <c r="A14" s="377" t="s">
        <v>270</v>
      </c>
      <c r="B14" s="429">
        <v>86127</v>
      </c>
      <c r="C14" s="429" t="s">
        <v>267</v>
      </c>
      <c r="D14" s="417" t="s">
        <v>281</v>
      </c>
      <c r="E14" s="430"/>
      <c r="F14" s="419">
        <v>1320</v>
      </c>
      <c r="G14" s="378">
        <v>0.23</v>
      </c>
      <c r="H14" s="379">
        <f t="shared" si="0"/>
        <v>303.60000000000002</v>
      </c>
      <c r="I14" s="380"/>
      <c r="J14" s="381"/>
      <c r="K14" s="381"/>
    </row>
    <row r="15" spans="1:11" s="382" customFormat="1" ht="19.5" customHeight="1">
      <c r="A15" s="383"/>
      <c r="B15" s="431"/>
      <c r="C15" s="431"/>
      <c r="D15" s="417" t="s">
        <v>282</v>
      </c>
      <c r="E15" s="430"/>
      <c r="F15" s="419">
        <v>204</v>
      </c>
      <c r="G15" s="378">
        <v>0.23</v>
      </c>
      <c r="H15" s="379">
        <f t="shared" si="0"/>
        <v>46.92</v>
      </c>
      <c r="I15" s="384"/>
      <c r="J15" s="381"/>
      <c r="K15" s="381"/>
    </row>
    <row r="16" spans="1:11" s="382" customFormat="1" ht="21" customHeight="1">
      <c r="A16" s="385"/>
      <c r="B16" s="432"/>
      <c r="C16" s="433"/>
      <c r="D16" s="434"/>
      <c r="E16" s="435"/>
      <c r="F16" s="436"/>
      <c r="G16" s="386"/>
      <c r="H16" s="387"/>
      <c r="I16" s="384"/>
      <c r="J16" s="381"/>
      <c r="K16" s="381"/>
    </row>
    <row r="17" spans="1:17" s="382" customFormat="1" ht="19.5" customHeight="1">
      <c r="A17" s="388">
        <v>46048</v>
      </c>
      <c r="B17" s="432"/>
      <c r="C17" s="437"/>
      <c r="D17" s="434" t="s">
        <v>279</v>
      </c>
      <c r="E17" s="438">
        <v>2.5</v>
      </c>
      <c r="F17" s="419">
        <v>3</v>
      </c>
      <c r="G17" s="378">
        <v>3.8</v>
      </c>
      <c r="H17" s="389">
        <f t="shared" ref="H17:H28" si="1">F17*G17*E17</f>
        <v>28.499999999999996</v>
      </c>
      <c r="I17" s="390"/>
      <c r="J17" s="381"/>
      <c r="K17" s="381"/>
    </row>
    <row r="18" spans="1:17" s="382" customFormat="1" ht="19.5" customHeight="1">
      <c r="A18" s="388">
        <v>46049</v>
      </c>
      <c r="B18" s="432"/>
      <c r="C18" s="437"/>
      <c r="D18" s="434" t="s">
        <v>279</v>
      </c>
      <c r="E18" s="438">
        <v>2.5</v>
      </c>
      <c r="F18" s="419">
        <v>4</v>
      </c>
      <c r="G18" s="378">
        <v>3.8</v>
      </c>
      <c r="H18" s="389">
        <f t="shared" si="1"/>
        <v>38</v>
      </c>
      <c r="I18" s="390"/>
      <c r="J18" s="381"/>
      <c r="K18" s="381"/>
    </row>
    <row r="19" spans="1:17" s="382" customFormat="1" ht="19.5" customHeight="1">
      <c r="A19" s="388">
        <v>46052</v>
      </c>
      <c r="B19" s="432"/>
      <c r="C19" s="437"/>
      <c r="D19" s="434" t="s">
        <v>279</v>
      </c>
      <c r="E19" s="438">
        <v>2.5</v>
      </c>
      <c r="F19" s="419">
        <v>3</v>
      </c>
      <c r="G19" s="378">
        <v>3.8</v>
      </c>
      <c r="H19" s="389">
        <f t="shared" si="1"/>
        <v>28.499999999999996</v>
      </c>
      <c r="I19" s="390"/>
      <c r="J19" s="381"/>
      <c r="K19" s="381"/>
    </row>
    <row r="20" spans="1:17" s="382" customFormat="1" ht="19.5" customHeight="1">
      <c r="A20" s="388">
        <v>46053</v>
      </c>
      <c r="B20" s="432"/>
      <c r="C20" s="437"/>
      <c r="D20" s="434" t="s">
        <v>279</v>
      </c>
      <c r="E20" s="438">
        <v>2.5</v>
      </c>
      <c r="F20" s="419">
        <v>3</v>
      </c>
      <c r="G20" s="378">
        <v>3.8</v>
      </c>
      <c r="H20" s="389">
        <f t="shared" si="1"/>
        <v>28.499999999999996</v>
      </c>
      <c r="I20" s="390"/>
      <c r="J20" s="381"/>
      <c r="K20" s="381"/>
    </row>
    <row r="21" spans="1:17" s="382" customFormat="1" ht="19.5" customHeight="1">
      <c r="A21" s="388">
        <v>46055</v>
      </c>
      <c r="B21" s="432"/>
      <c r="C21" s="437"/>
      <c r="D21" s="434" t="s">
        <v>279</v>
      </c>
      <c r="E21" s="438">
        <v>2.5</v>
      </c>
      <c r="F21" s="419">
        <v>4</v>
      </c>
      <c r="G21" s="378">
        <v>3.8</v>
      </c>
      <c r="H21" s="389">
        <f t="shared" si="1"/>
        <v>38</v>
      </c>
      <c r="I21" s="390"/>
      <c r="J21" s="381"/>
      <c r="K21" s="381"/>
    </row>
    <row r="22" spans="1:17" s="382" customFormat="1" ht="19.5" customHeight="1">
      <c r="A22" s="388">
        <v>46059</v>
      </c>
      <c r="B22" s="432"/>
      <c r="C22" s="437"/>
      <c r="D22" s="434" t="s">
        <v>279</v>
      </c>
      <c r="E22" s="438">
        <v>2.5</v>
      </c>
      <c r="F22" s="419">
        <v>2</v>
      </c>
      <c r="G22" s="378">
        <v>3.8</v>
      </c>
      <c r="H22" s="389">
        <f t="shared" si="1"/>
        <v>19</v>
      </c>
      <c r="I22" s="390"/>
      <c r="J22" s="381"/>
      <c r="K22" s="381"/>
    </row>
    <row r="23" spans="1:17" s="382" customFormat="1" ht="19.5" customHeight="1">
      <c r="A23" s="388">
        <v>46060</v>
      </c>
      <c r="B23" s="432"/>
      <c r="C23" s="437"/>
      <c r="D23" s="434" t="s">
        <v>279</v>
      </c>
      <c r="E23" s="438">
        <v>2.5</v>
      </c>
      <c r="F23" s="419">
        <v>3</v>
      </c>
      <c r="G23" s="378">
        <v>3.8</v>
      </c>
      <c r="H23" s="389">
        <f t="shared" si="1"/>
        <v>28.499999999999996</v>
      </c>
      <c r="I23" s="390"/>
      <c r="J23" s="381"/>
      <c r="K23" s="381"/>
    </row>
    <row r="24" spans="1:17" s="382" customFormat="1" ht="19.5" customHeight="1">
      <c r="A24" s="388">
        <v>46062</v>
      </c>
      <c r="B24" s="432"/>
      <c r="C24" s="437"/>
      <c r="D24" s="434" t="s">
        <v>279</v>
      </c>
      <c r="E24" s="438">
        <v>2.5</v>
      </c>
      <c r="F24" s="419">
        <v>3</v>
      </c>
      <c r="G24" s="378">
        <v>3.8</v>
      </c>
      <c r="H24" s="389">
        <f t="shared" si="1"/>
        <v>28.499999999999996</v>
      </c>
      <c r="I24" s="390"/>
      <c r="J24" s="381"/>
      <c r="K24" s="381"/>
    </row>
    <row r="25" spans="1:17" s="382" customFormat="1" ht="19.5" customHeight="1">
      <c r="A25" s="388">
        <v>46063</v>
      </c>
      <c r="B25" s="432"/>
      <c r="C25" s="437"/>
      <c r="D25" s="434" t="s">
        <v>279</v>
      </c>
      <c r="E25" s="438">
        <v>2.5</v>
      </c>
      <c r="F25" s="419">
        <v>4</v>
      </c>
      <c r="G25" s="378">
        <v>3.8</v>
      </c>
      <c r="H25" s="389">
        <f t="shared" si="1"/>
        <v>38</v>
      </c>
      <c r="I25" s="390"/>
      <c r="J25" s="381"/>
      <c r="K25" s="381"/>
    </row>
    <row r="26" spans="1:17" s="382" customFormat="1" ht="19.5" customHeight="1">
      <c r="A26" s="388">
        <v>46064</v>
      </c>
      <c r="B26" s="432"/>
      <c r="C26" s="437"/>
      <c r="D26" s="434" t="s">
        <v>279</v>
      </c>
      <c r="E26" s="438">
        <v>2.5</v>
      </c>
      <c r="F26" s="419">
        <v>3</v>
      </c>
      <c r="G26" s="378">
        <v>3.8</v>
      </c>
      <c r="H26" s="389">
        <f t="shared" si="1"/>
        <v>28.499999999999996</v>
      </c>
      <c r="I26" s="390"/>
      <c r="J26" s="381"/>
      <c r="K26" s="381"/>
    </row>
    <row r="27" spans="1:17" s="382" customFormat="1" ht="19.5" customHeight="1">
      <c r="A27" s="388">
        <v>46065</v>
      </c>
      <c r="B27" s="432"/>
      <c r="C27" s="437"/>
      <c r="D27" s="434" t="s">
        <v>279</v>
      </c>
      <c r="E27" s="438">
        <v>2.5</v>
      </c>
      <c r="F27" s="419">
        <v>3</v>
      </c>
      <c r="G27" s="378">
        <v>3.8</v>
      </c>
      <c r="H27" s="389">
        <f t="shared" si="1"/>
        <v>28.499999999999996</v>
      </c>
      <c r="I27" s="390"/>
      <c r="J27" s="381"/>
      <c r="K27" s="381"/>
    </row>
    <row r="28" spans="1:17" s="382" customFormat="1" ht="19.5" customHeight="1">
      <c r="A28" s="388">
        <v>46066</v>
      </c>
      <c r="B28" s="432"/>
      <c r="C28" s="437"/>
      <c r="D28" s="434" t="s">
        <v>279</v>
      </c>
      <c r="E28" s="438">
        <v>2.5</v>
      </c>
      <c r="F28" s="419">
        <v>5</v>
      </c>
      <c r="G28" s="378">
        <v>3.8</v>
      </c>
      <c r="H28" s="389">
        <f t="shared" si="1"/>
        <v>47.5</v>
      </c>
      <c r="I28" s="390"/>
      <c r="J28" s="381"/>
      <c r="K28" s="381"/>
    </row>
    <row r="29" spans="1:17" s="382" customFormat="1" ht="19.5" customHeight="1">
      <c r="A29" s="391"/>
      <c r="B29" s="432"/>
      <c r="C29" s="433"/>
      <c r="D29" s="434"/>
      <c r="E29" s="435"/>
      <c r="F29" s="436"/>
      <c r="G29" s="386"/>
      <c r="H29" s="389"/>
      <c r="I29" s="384"/>
      <c r="J29" s="381"/>
      <c r="K29" s="381"/>
      <c r="L29" s="392"/>
      <c r="M29" s="392"/>
      <c r="N29" s="392"/>
      <c r="O29" s="392"/>
      <c r="P29" s="392"/>
      <c r="Q29" s="392"/>
    </row>
    <row r="30" spans="1:17" s="423" customFormat="1" ht="19.5" customHeight="1">
      <c r="A30" s="414" t="s">
        <v>271</v>
      </c>
      <c r="B30" s="415"/>
      <c r="C30" s="416"/>
      <c r="D30" s="417" t="s">
        <v>280</v>
      </c>
      <c r="E30" s="418">
        <v>12</v>
      </c>
      <c r="F30" s="419">
        <v>1</v>
      </c>
      <c r="G30" s="420">
        <v>59.18</v>
      </c>
      <c r="H30" s="421">
        <f>F30*G30*E30</f>
        <v>710.16</v>
      </c>
      <c r="I30" s="422" t="s">
        <v>272</v>
      </c>
      <c r="J30" s="423">
        <f>1343100/22695</f>
        <v>59.180436219431591</v>
      </c>
    </row>
    <row r="31" spans="1:17" s="393" customFormat="1" ht="21.75" customHeight="1">
      <c r="A31" s="396"/>
      <c r="B31" s="441"/>
      <c r="C31" s="442"/>
      <c r="D31" s="439"/>
      <c r="E31" s="439"/>
      <c r="F31" s="440"/>
      <c r="G31" s="397"/>
      <c r="H31" s="394">
        <f t="shared" ref="H31:H32" si="2">F31*G31</f>
        <v>0</v>
      </c>
      <c r="I31" s="395"/>
    </row>
    <row r="32" spans="1:17" s="393" customFormat="1" ht="21.75" customHeight="1" thickBot="1">
      <c r="A32" s="398"/>
      <c r="B32" s="443"/>
      <c r="C32" s="444"/>
      <c r="D32" s="445"/>
      <c r="E32" s="445"/>
      <c r="F32" s="446"/>
      <c r="G32" s="399"/>
      <c r="H32" s="400">
        <f t="shared" si="2"/>
        <v>0</v>
      </c>
      <c r="I32" s="401"/>
    </row>
    <row r="33" spans="1:12" s="356" customFormat="1" ht="18.75" customHeight="1">
      <c r="A33" s="365"/>
      <c r="B33" s="447"/>
      <c r="C33" s="447"/>
      <c r="D33" s="447"/>
      <c r="E33" s="366" t="s">
        <v>240</v>
      </c>
      <c r="F33" s="366"/>
      <c r="G33" s="366"/>
      <c r="H33" s="367">
        <f>SUM(H5:H31)</f>
        <v>4532.8</v>
      </c>
      <c r="I33" s="368"/>
      <c r="J33" s="355"/>
      <c r="K33" s="402"/>
      <c r="L33" s="355"/>
    </row>
    <row r="34" spans="1:12" s="356" customFormat="1" ht="18.75" customHeight="1">
      <c r="A34" s="365"/>
      <c r="B34" s="447"/>
      <c r="C34" s="447" t="s">
        <v>241</v>
      </c>
      <c r="D34" s="448"/>
      <c r="E34" s="366" t="s">
        <v>242</v>
      </c>
      <c r="F34" s="366"/>
      <c r="G34" s="366"/>
      <c r="H34" s="367">
        <f>H33*8%</f>
        <v>362.62400000000002</v>
      </c>
      <c r="I34" s="368"/>
      <c r="J34" s="355"/>
      <c r="K34" s="403"/>
      <c r="L34" s="355"/>
    </row>
    <row r="35" spans="1:12" s="356" customFormat="1" ht="18.75" customHeight="1">
      <c r="A35" s="365"/>
      <c r="B35" s="449"/>
      <c r="C35" s="449"/>
      <c r="D35" s="449"/>
      <c r="E35" s="366" t="s">
        <v>243</v>
      </c>
      <c r="F35" s="366"/>
      <c r="G35" s="366"/>
      <c r="H35" s="367">
        <f>H33+H34</f>
        <v>4895.424</v>
      </c>
      <c r="I35" s="368" t="s">
        <v>273</v>
      </c>
      <c r="J35" s="355"/>
      <c r="K35" s="403"/>
      <c r="L35" s="355"/>
    </row>
    <row r="36" spans="1:12" s="356" customFormat="1" ht="18.75" customHeight="1">
      <c r="A36" s="404" t="s">
        <v>274</v>
      </c>
      <c r="B36" s="450"/>
      <c r="C36" s="451"/>
      <c r="D36" s="452" t="s">
        <v>275</v>
      </c>
      <c r="E36" s="451"/>
      <c r="F36" s="453">
        <v>156.83000000000001</v>
      </c>
      <c r="G36" s="405"/>
      <c r="H36" s="406">
        <f>H35*F36</f>
        <v>767749.34592000011</v>
      </c>
      <c r="I36" s="405" t="s">
        <v>244</v>
      </c>
      <c r="J36" s="355"/>
      <c r="K36" s="355"/>
      <c r="L36" s="355"/>
    </row>
    <row r="37" spans="1:12" s="356" customFormat="1" ht="18.75" customHeight="1">
      <c r="A37" s="369" t="s">
        <v>245</v>
      </c>
      <c r="B37" s="454"/>
      <c r="C37" s="455"/>
      <c r="D37" s="456"/>
      <c r="E37" s="456" t="s">
        <v>246</v>
      </c>
      <c r="F37" s="455"/>
      <c r="G37" s="364"/>
      <c r="H37" s="407"/>
      <c r="I37" s="364"/>
      <c r="J37" s="355"/>
      <c r="K37" s="355"/>
      <c r="L37" s="355"/>
    </row>
    <row r="38" spans="1:12" s="356" customFormat="1" ht="24.75" customHeight="1">
      <c r="A38" s="371" t="s">
        <v>247</v>
      </c>
      <c r="B38" s="454"/>
      <c r="C38" s="455"/>
      <c r="D38" s="457"/>
      <c r="E38" s="457" t="s">
        <v>248</v>
      </c>
      <c r="F38" s="455"/>
      <c r="G38" s="364"/>
      <c r="H38" s="364"/>
      <c r="I38" s="364"/>
      <c r="J38" s="355"/>
      <c r="K38" s="355"/>
      <c r="L38" s="355"/>
    </row>
    <row r="39" spans="1:12" s="356" customFormat="1" ht="24.75" customHeight="1">
      <c r="A39" s="370" t="s">
        <v>249</v>
      </c>
      <c r="B39" s="454"/>
      <c r="C39" s="455"/>
      <c r="D39" s="458"/>
      <c r="E39" s="458" t="s">
        <v>250</v>
      </c>
      <c r="F39" s="455"/>
      <c r="G39" s="364"/>
      <c r="H39" s="364"/>
      <c r="I39" s="364"/>
      <c r="J39" s="355"/>
      <c r="K39" s="355"/>
      <c r="L39" s="355"/>
    </row>
    <row r="40" spans="1:12" s="356" customFormat="1" ht="24.75" customHeight="1">
      <c r="A40" s="370" t="s">
        <v>251</v>
      </c>
      <c r="B40" s="454"/>
      <c r="C40" s="455"/>
      <c r="D40" s="459"/>
      <c r="E40" s="459" t="s">
        <v>252</v>
      </c>
      <c r="F40" s="455"/>
      <c r="G40" s="364"/>
      <c r="H40" s="364"/>
      <c r="I40" s="364"/>
      <c r="J40" s="355"/>
      <c r="K40" s="355"/>
      <c r="L40" s="355"/>
    </row>
    <row r="41" spans="1:12" s="356" customFormat="1" ht="24.75" customHeight="1">
      <c r="A41" s="372" t="s">
        <v>276</v>
      </c>
      <c r="B41" s="454"/>
      <c r="C41" s="455"/>
      <c r="D41" s="460"/>
      <c r="E41" s="460" t="s">
        <v>253</v>
      </c>
      <c r="F41" s="455"/>
      <c r="G41" s="364"/>
      <c r="H41" s="364"/>
      <c r="I41" s="364"/>
      <c r="J41" s="355"/>
      <c r="K41" s="355"/>
      <c r="L41" s="355"/>
    </row>
    <row r="42" spans="1:12" s="356" customFormat="1" ht="24.75" customHeight="1">
      <c r="A42" s="370" t="s">
        <v>254</v>
      </c>
      <c r="B42" s="454"/>
      <c r="C42" s="455"/>
      <c r="D42" s="458"/>
      <c r="E42" s="458" t="s">
        <v>255</v>
      </c>
      <c r="F42" s="455"/>
      <c r="G42" s="364"/>
      <c r="H42" s="364"/>
      <c r="I42" s="364"/>
      <c r="J42" s="355"/>
      <c r="K42" s="355"/>
      <c r="L42" s="355"/>
    </row>
    <row r="43" spans="1:12" s="356" customFormat="1" ht="24.75" customHeight="1">
      <c r="A43" s="372" t="s">
        <v>256</v>
      </c>
      <c r="B43" s="448"/>
      <c r="C43" s="455"/>
      <c r="D43" s="457"/>
      <c r="E43" s="457" t="s">
        <v>257</v>
      </c>
      <c r="F43" s="455"/>
      <c r="G43" s="364"/>
      <c r="H43" s="364"/>
      <c r="I43" s="364"/>
      <c r="J43" s="355"/>
      <c r="K43" s="355"/>
      <c r="L43" s="355"/>
    </row>
    <row r="44" spans="1:12" s="356" customFormat="1" ht="24.75" customHeight="1">
      <c r="A44" s="370" t="s">
        <v>258</v>
      </c>
      <c r="B44" s="448"/>
      <c r="C44" s="455"/>
      <c r="D44" s="457"/>
      <c r="E44" s="457" t="s">
        <v>259</v>
      </c>
      <c r="F44" s="455"/>
      <c r="G44" s="364"/>
      <c r="H44" s="364"/>
      <c r="I44" s="364"/>
      <c r="J44" s="355"/>
      <c r="K44" s="355"/>
      <c r="L44" s="355"/>
    </row>
    <row r="45" spans="1:12" s="393" customFormat="1">
      <c r="A45" s="393" t="s">
        <v>258</v>
      </c>
      <c r="B45" s="461"/>
      <c r="C45" s="462"/>
      <c r="D45" s="461"/>
      <c r="E45" s="461"/>
      <c r="F45" s="463" t="s">
        <v>260</v>
      </c>
      <c r="G45" s="408"/>
    </row>
    <row r="46" spans="1:12" s="393" customFormat="1">
      <c r="A46" s="408"/>
      <c r="B46" s="462"/>
      <c r="C46" s="462"/>
      <c r="D46" s="462"/>
      <c r="E46" s="462"/>
      <c r="F46" s="462"/>
      <c r="G46" s="408"/>
      <c r="H46" s="408"/>
      <c r="I46" s="408"/>
    </row>
    <row r="47" spans="1:12" s="393" customFormat="1">
      <c r="A47" s="408"/>
      <c r="B47" s="462"/>
      <c r="C47" s="462"/>
      <c r="D47" s="462"/>
      <c r="E47" s="462"/>
      <c r="F47" s="462"/>
      <c r="G47" s="408"/>
      <c r="H47" s="408"/>
      <c r="I47" s="408"/>
    </row>
    <row r="48" spans="1:12" s="393" customFormat="1">
      <c r="A48" s="408"/>
      <c r="B48" s="462"/>
      <c r="C48" s="462"/>
      <c r="D48" s="462"/>
      <c r="E48" s="462"/>
      <c r="F48" s="462"/>
      <c r="G48" s="408"/>
      <c r="H48" s="408"/>
      <c r="I48" s="408"/>
    </row>
    <row r="49" spans="1:9" s="393" customFormat="1">
      <c r="A49" s="408"/>
      <c r="B49" s="462"/>
      <c r="C49" s="462"/>
      <c r="D49" s="462"/>
      <c r="E49" s="462"/>
      <c r="F49" s="462"/>
      <c r="G49" s="408"/>
      <c r="H49" s="408"/>
      <c r="I49" s="408"/>
    </row>
    <row r="50" spans="1:9" s="393" customFormat="1">
      <c r="A50" s="408"/>
      <c r="B50" s="462"/>
      <c r="C50" s="462"/>
      <c r="D50" s="462"/>
      <c r="E50" s="462"/>
      <c r="F50" s="462"/>
      <c r="G50" s="408"/>
      <c r="H50" s="408"/>
      <c r="I50" s="408"/>
    </row>
    <row r="51" spans="1:9" s="393" customFormat="1">
      <c r="A51" s="408"/>
      <c r="B51" s="462"/>
      <c r="C51" s="462"/>
      <c r="D51" s="462"/>
      <c r="E51" s="462"/>
      <c r="F51" s="462"/>
      <c r="G51" s="408"/>
      <c r="H51" s="408"/>
      <c r="I51" s="408"/>
    </row>
    <row r="52" spans="1:9" s="393" customFormat="1">
      <c r="A52" s="408"/>
      <c r="B52" s="462"/>
      <c r="C52" s="462"/>
      <c r="D52" s="462"/>
      <c r="E52" s="462"/>
      <c r="F52" s="462"/>
      <c r="G52" s="408"/>
      <c r="H52" s="408"/>
      <c r="I52" s="408"/>
    </row>
    <row r="53" spans="1:9" s="393" customFormat="1">
      <c r="A53" s="408"/>
      <c r="B53" s="462"/>
      <c r="C53" s="462"/>
      <c r="D53" s="462"/>
      <c r="E53" s="462"/>
      <c r="F53" s="462"/>
      <c r="G53" s="408"/>
      <c r="H53" s="408"/>
      <c r="I53" s="408"/>
    </row>
    <row r="54" spans="1:9" s="393" customFormat="1">
      <c r="A54" s="408"/>
      <c r="B54" s="462"/>
      <c r="C54" s="462"/>
      <c r="D54" s="462"/>
      <c r="E54" s="462"/>
      <c r="F54" s="462"/>
      <c r="G54" s="408"/>
      <c r="H54" s="408"/>
      <c r="I54" s="408"/>
    </row>
    <row r="55" spans="1:9" s="393" customFormat="1">
      <c r="A55" s="408"/>
      <c r="B55" s="462"/>
      <c r="C55" s="462"/>
      <c r="D55" s="462"/>
      <c r="E55" s="462"/>
      <c r="F55" s="462"/>
      <c r="G55" s="408"/>
      <c r="H55" s="408"/>
      <c r="I55" s="408"/>
    </row>
    <row r="56" spans="1:9" s="393" customFormat="1">
      <c r="A56" s="408"/>
      <c r="B56" s="462"/>
      <c r="C56" s="462"/>
      <c r="D56" s="462"/>
      <c r="E56" s="462"/>
      <c r="F56" s="462"/>
      <c r="G56" s="408"/>
      <c r="H56" s="408"/>
      <c r="I56" s="408"/>
    </row>
    <row r="57" spans="1:9" s="393" customFormat="1">
      <c r="A57" s="408"/>
      <c r="B57" s="462"/>
      <c r="C57" s="462"/>
      <c r="D57" s="462"/>
      <c r="E57" s="462"/>
      <c r="F57" s="462"/>
      <c r="G57" s="408"/>
      <c r="H57" s="408"/>
      <c r="I57" s="408"/>
    </row>
    <row r="58" spans="1:9" s="393" customFormat="1">
      <c r="A58" s="408"/>
      <c r="B58" s="462"/>
      <c r="C58" s="462"/>
      <c r="D58" s="462"/>
      <c r="E58" s="462"/>
      <c r="F58" s="462"/>
      <c r="G58" s="408"/>
      <c r="H58" s="408"/>
      <c r="I58" s="408"/>
    </row>
    <row r="59" spans="1:9" s="393" customFormat="1">
      <c r="A59" s="408"/>
      <c r="B59" s="462"/>
      <c r="C59" s="462"/>
      <c r="D59" s="462"/>
      <c r="E59" s="462"/>
      <c r="F59" s="462"/>
      <c r="G59" s="408"/>
      <c r="H59" s="408"/>
      <c r="I59" s="408"/>
    </row>
    <row r="60" spans="1:9" s="393" customFormat="1">
      <c r="A60" s="408"/>
      <c r="B60" s="462"/>
      <c r="C60" s="462"/>
      <c r="D60" s="462"/>
      <c r="E60" s="462"/>
      <c r="F60" s="462"/>
      <c r="G60" s="408"/>
      <c r="H60" s="408"/>
      <c r="I60" s="408"/>
    </row>
    <row r="61" spans="1:9" s="393" customFormat="1">
      <c r="A61" s="408"/>
      <c r="B61" s="462"/>
      <c r="C61" s="462"/>
      <c r="D61" s="462"/>
      <c r="E61" s="462"/>
      <c r="F61" s="462"/>
      <c r="G61" s="408"/>
      <c r="H61" s="408"/>
      <c r="I61" s="408"/>
    </row>
    <row r="62" spans="1:9" s="393" customFormat="1">
      <c r="A62" s="408"/>
      <c r="B62" s="462"/>
      <c r="C62" s="462"/>
      <c r="D62" s="462"/>
      <c r="E62" s="462"/>
      <c r="F62" s="462"/>
      <c r="G62" s="408"/>
      <c r="H62" s="408"/>
      <c r="I62" s="408"/>
    </row>
    <row r="63" spans="1:9" s="393" customFormat="1">
      <c r="A63" s="408"/>
      <c r="B63" s="462"/>
      <c r="C63" s="462"/>
      <c r="D63" s="462"/>
      <c r="E63" s="462"/>
      <c r="F63" s="462"/>
      <c r="G63" s="408"/>
      <c r="H63" s="408"/>
      <c r="I63" s="408"/>
    </row>
    <row r="64" spans="1:9" s="393" customFormat="1">
      <c r="A64" s="408"/>
      <c r="B64" s="462"/>
      <c r="C64" s="462"/>
      <c r="D64" s="462"/>
      <c r="E64" s="462"/>
      <c r="F64" s="462"/>
      <c r="G64" s="408"/>
      <c r="H64" s="408"/>
      <c r="I64" s="408"/>
    </row>
    <row r="65" spans="1:9" s="393" customFormat="1">
      <c r="A65" s="408"/>
      <c r="B65" s="462"/>
      <c r="C65" s="462"/>
      <c r="D65" s="462"/>
      <c r="E65" s="462"/>
      <c r="F65" s="462"/>
      <c r="G65" s="408"/>
      <c r="H65" s="408"/>
      <c r="I65" s="408"/>
    </row>
    <row r="66" spans="1:9" s="393" customFormat="1">
      <c r="A66" s="408"/>
      <c r="B66" s="462"/>
      <c r="C66" s="462"/>
      <c r="D66" s="462"/>
      <c r="E66" s="462"/>
      <c r="F66" s="462"/>
      <c r="G66" s="408"/>
      <c r="H66" s="408"/>
      <c r="I66" s="408"/>
    </row>
    <row r="67" spans="1:9" s="393" customFormat="1">
      <c r="A67" s="408"/>
      <c r="B67" s="462"/>
      <c r="C67" s="462"/>
      <c r="D67" s="462"/>
      <c r="E67" s="462"/>
      <c r="F67" s="462"/>
      <c r="G67" s="408"/>
      <c r="H67" s="408"/>
      <c r="I67" s="408"/>
    </row>
    <row r="68" spans="1:9" s="393" customFormat="1">
      <c r="A68" s="408"/>
      <c r="B68" s="462"/>
      <c r="C68" s="462"/>
      <c r="D68" s="462"/>
      <c r="E68" s="462"/>
      <c r="F68" s="462"/>
      <c r="G68" s="408"/>
      <c r="H68" s="408"/>
      <c r="I68" s="408"/>
    </row>
    <row r="69" spans="1:9" s="393" customFormat="1">
      <c r="A69" s="408"/>
      <c r="B69" s="462"/>
      <c r="C69" s="462"/>
      <c r="D69" s="462"/>
      <c r="E69" s="462"/>
      <c r="F69" s="462"/>
      <c r="G69" s="408"/>
      <c r="H69" s="408"/>
      <c r="I69" s="408"/>
    </row>
    <row r="70" spans="1:9" s="393" customFormat="1">
      <c r="A70" s="408"/>
      <c r="B70" s="462"/>
      <c r="C70" s="462"/>
      <c r="D70" s="462"/>
      <c r="E70" s="462"/>
      <c r="F70" s="462"/>
      <c r="G70" s="408"/>
      <c r="H70" s="408"/>
      <c r="I70" s="408"/>
    </row>
    <row r="71" spans="1:9" s="393" customFormat="1">
      <c r="A71" s="408"/>
      <c r="B71" s="462"/>
      <c r="C71" s="462"/>
      <c r="D71" s="462"/>
      <c r="E71" s="462"/>
      <c r="F71" s="462"/>
      <c r="G71" s="408"/>
      <c r="H71" s="408"/>
      <c r="I71" s="408"/>
    </row>
    <row r="72" spans="1:9" s="393" customFormat="1">
      <c r="A72" s="408"/>
      <c r="B72" s="462"/>
      <c r="C72" s="462"/>
      <c r="D72" s="462"/>
      <c r="E72" s="462"/>
      <c r="F72" s="462"/>
      <c r="G72" s="408"/>
      <c r="H72" s="408"/>
      <c r="I72" s="408"/>
    </row>
    <row r="73" spans="1:9" s="393" customFormat="1">
      <c r="A73" s="408"/>
      <c r="B73" s="462"/>
      <c r="C73" s="462"/>
      <c r="D73" s="462"/>
      <c r="E73" s="462"/>
      <c r="F73" s="462"/>
      <c r="G73" s="408"/>
      <c r="H73" s="408"/>
      <c r="I73" s="408"/>
    </row>
    <row r="74" spans="1:9" s="393" customFormat="1">
      <c r="A74" s="408"/>
      <c r="B74" s="462"/>
      <c r="C74" s="462"/>
      <c r="D74" s="462"/>
      <c r="E74" s="462"/>
      <c r="F74" s="462"/>
      <c r="G74" s="408"/>
      <c r="H74" s="408"/>
      <c r="I74" s="408"/>
    </row>
    <row r="75" spans="1:9" s="393" customFormat="1">
      <c r="A75" s="408"/>
      <c r="B75" s="462"/>
      <c r="C75" s="462"/>
      <c r="D75" s="462"/>
      <c r="E75" s="462"/>
      <c r="F75" s="462"/>
      <c r="G75" s="408"/>
      <c r="H75" s="408"/>
      <c r="I75" s="408"/>
    </row>
    <row r="76" spans="1:9" s="393" customFormat="1">
      <c r="A76" s="408"/>
      <c r="B76" s="462"/>
      <c r="C76" s="462"/>
      <c r="D76" s="462"/>
      <c r="E76" s="462"/>
      <c r="F76" s="462"/>
      <c r="G76" s="408"/>
      <c r="H76" s="408"/>
      <c r="I76" s="408"/>
    </row>
    <row r="77" spans="1:9" s="393" customFormat="1">
      <c r="A77" s="408"/>
      <c r="B77" s="462"/>
      <c r="C77" s="462"/>
      <c r="D77" s="462"/>
      <c r="E77" s="462"/>
      <c r="F77" s="462"/>
      <c r="G77" s="408"/>
      <c r="H77" s="408"/>
      <c r="I77" s="408"/>
    </row>
    <row r="78" spans="1:9" s="393" customFormat="1">
      <c r="A78" s="408"/>
      <c r="B78" s="462"/>
      <c r="C78" s="462"/>
      <c r="D78" s="462"/>
      <c r="E78" s="462"/>
      <c r="F78" s="462"/>
      <c r="G78" s="408"/>
      <c r="H78" s="408"/>
      <c r="I78" s="408"/>
    </row>
    <row r="79" spans="1:9" s="393" customFormat="1">
      <c r="A79" s="408"/>
      <c r="B79" s="462"/>
      <c r="C79" s="462"/>
      <c r="D79" s="462"/>
      <c r="E79" s="462"/>
      <c r="F79" s="462"/>
      <c r="G79" s="408"/>
      <c r="H79" s="408"/>
      <c r="I79" s="408"/>
    </row>
    <row r="80" spans="1:9" s="393" customFormat="1">
      <c r="A80" s="408"/>
      <c r="B80" s="462"/>
      <c r="C80" s="462"/>
      <c r="D80" s="462"/>
      <c r="E80" s="462"/>
      <c r="F80" s="462"/>
      <c r="G80" s="408"/>
      <c r="H80" s="408"/>
      <c r="I80" s="408"/>
    </row>
    <row r="81" spans="1:9" s="393" customFormat="1">
      <c r="A81" s="408"/>
      <c r="B81" s="462"/>
      <c r="C81" s="462"/>
      <c r="D81" s="462"/>
      <c r="E81" s="462"/>
      <c r="F81" s="462"/>
      <c r="G81" s="408"/>
      <c r="H81" s="408"/>
      <c r="I81" s="408"/>
    </row>
    <row r="82" spans="1:9" s="393" customFormat="1">
      <c r="A82" s="408"/>
      <c r="B82" s="462"/>
      <c r="C82" s="462"/>
      <c r="D82" s="462"/>
      <c r="E82" s="462"/>
      <c r="F82" s="462"/>
      <c r="G82" s="408"/>
      <c r="H82" s="408"/>
      <c r="I82" s="408"/>
    </row>
    <row r="83" spans="1:9" s="393" customFormat="1">
      <c r="A83" s="408"/>
      <c r="B83" s="462"/>
      <c r="C83" s="462"/>
      <c r="D83" s="462"/>
      <c r="E83" s="462"/>
      <c r="F83" s="462"/>
      <c r="G83" s="408"/>
      <c r="H83" s="408"/>
      <c r="I83" s="408"/>
    </row>
    <row r="84" spans="1:9" s="393" customFormat="1">
      <c r="A84" s="408"/>
      <c r="B84" s="462"/>
      <c r="C84" s="462"/>
      <c r="D84" s="462"/>
      <c r="E84" s="462"/>
      <c r="F84" s="462"/>
      <c r="G84" s="408"/>
      <c r="H84" s="408"/>
      <c r="I84" s="408"/>
    </row>
    <row r="85" spans="1:9" s="393" customFormat="1">
      <c r="A85" s="408"/>
      <c r="B85" s="462"/>
      <c r="C85" s="462"/>
      <c r="D85" s="462"/>
      <c r="E85" s="462"/>
      <c r="F85" s="462"/>
      <c r="G85" s="408"/>
      <c r="H85" s="408"/>
      <c r="I85" s="408"/>
    </row>
    <row r="86" spans="1:9" s="393" customFormat="1">
      <c r="A86" s="408"/>
      <c r="B86" s="462"/>
      <c r="C86" s="462"/>
      <c r="D86" s="462"/>
      <c r="E86" s="462"/>
      <c r="F86" s="462"/>
      <c r="G86" s="408"/>
      <c r="H86" s="408"/>
      <c r="I86" s="408"/>
    </row>
    <row r="87" spans="1:9" s="393" customFormat="1">
      <c r="A87" s="408"/>
      <c r="B87" s="462"/>
      <c r="C87" s="462"/>
      <c r="D87" s="462"/>
      <c r="E87" s="462"/>
      <c r="F87" s="462"/>
      <c r="G87" s="408"/>
      <c r="H87" s="408"/>
      <c r="I87" s="408"/>
    </row>
    <row r="88" spans="1:9" s="393" customFormat="1">
      <c r="A88" s="408"/>
      <c r="B88" s="462"/>
      <c r="C88" s="462"/>
      <c r="D88" s="462"/>
      <c r="E88" s="462"/>
      <c r="F88" s="462"/>
      <c r="G88" s="408"/>
      <c r="H88" s="408"/>
      <c r="I88" s="408"/>
    </row>
    <row r="89" spans="1:9" s="393" customFormat="1">
      <c r="A89" s="408"/>
      <c r="B89" s="462"/>
      <c r="C89" s="462"/>
      <c r="D89" s="462"/>
      <c r="E89" s="462"/>
      <c r="F89" s="462"/>
      <c r="G89" s="408"/>
      <c r="H89" s="408"/>
      <c r="I89" s="408"/>
    </row>
    <row r="90" spans="1:9" s="393" customFormat="1">
      <c r="A90" s="408"/>
      <c r="B90" s="462"/>
      <c r="C90" s="462"/>
      <c r="D90" s="462"/>
      <c r="E90" s="462"/>
      <c r="F90" s="462"/>
      <c r="G90" s="408"/>
      <c r="H90" s="408"/>
      <c r="I90" s="408"/>
    </row>
    <row r="91" spans="1:9" s="393" customFormat="1">
      <c r="A91" s="408"/>
      <c r="B91" s="462"/>
      <c r="C91" s="462"/>
      <c r="D91" s="462"/>
      <c r="E91" s="462"/>
      <c r="F91" s="462"/>
      <c r="G91" s="408"/>
      <c r="H91" s="408"/>
      <c r="I91" s="408"/>
    </row>
    <row r="92" spans="1:9" s="393" customFormat="1">
      <c r="A92" s="408"/>
      <c r="B92" s="462"/>
      <c r="C92" s="462"/>
      <c r="D92" s="462"/>
      <c r="E92" s="462"/>
      <c r="F92" s="462"/>
      <c r="G92" s="408"/>
      <c r="H92" s="408"/>
      <c r="I92" s="408"/>
    </row>
    <row r="93" spans="1:9" s="393" customFormat="1">
      <c r="A93" s="408"/>
      <c r="B93" s="462"/>
      <c r="C93" s="462"/>
      <c r="D93" s="462"/>
      <c r="E93" s="462"/>
      <c r="F93" s="462"/>
      <c r="G93" s="408"/>
      <c r="H93" s="408"/>
      <c r="I93" s="408"/>
    </row>
    <row r="94" spans="1:9" s="393" customFormat="1">
      <c r="A94" s="408"/>
      <c r="B94" s="462"/>
      <c r="C94" s="462"/>
      <c r="D94" s="462"/>
      <c r="E94" s="462"/>
      <c r="F94" s="462"/>
      <c r="G94" s="408"/>
      <c r="H94" s="408"/>
      <c r="I94" s="408"/>
    </row>
    <row r="95" spans="1:9" s="393" customFormat="1">
      <c r="A95" s="408"/>
      <c r="B95" s="462"/>
      <c r="C95" s="462"/>
      <c r="D95" s="462"/>
      <c r="E95" s="462"/>
      <c r="F95" s="462"/>
      <c r="G95" s="408"/>
      <c r="H95" s="408"/>
      <c r="I95" s="408"/>
    </row>
    <row r="96" spans="1:9" s="393" customFormat="1">
      <c r="A96" s="408"/>
      <c r="B96" s="462"/>
      <c r="C96" s="462"/>
      <c r="D96" s="462"/>
      <c r="E96" s="462"/>
      <c r="F96" s="462"/>
      <c r="G96" s="408"/>
      <c r="H96" s="408"/>
      <c r="I96" s="408"/>
    </row>
    <row r="97" spans="1:9" s="393" customFormat="1">
      <c r="A97" s="408"/>
      <c r="B97" s="462"/>
      <c r="C97" s="462"/>
      <c r="D97" s="462"/>
      <c r="E97" s="462"/>
      <c r="F97" s="462"/>
      <c r="G97" s="408"/>
      <c r="H97" s="408"/>
      <c r="I97" s="408"/>
    </row>
    <row r="98" spans="1:9" s="393" customFormat="1">
      <c r="A98" s="408"/>
      <c r="B98" s="462"/>
      <c r="C98" s="462"/>
      <c r="D98" s="462"/>
      <c r="E98" s="462"/>
      <c r="F98" s="462"/>
      <c r="G98" s="408"/>
      <c r="H98" s="408"/>
      <c r="I98" s="408"/>
    </row>
    <row r="99" spans="1:9" s="393" customFormat="1">
      <c r="A99" s="408"/>
      <c r="B99" s="462"/>
      <c r="C99" s="462"/>
      <c r="D99" s="462"/>
      <c r="E99" s="462"/>
      <c r="F99" s="462"/>
      <c r="G99" s="408"/>
      <c r="H99" s="408"/>
      <c r="I99" s="408"/>
    </row>
  </sheetData>
  <mergeCells count="21">
    <mergeCell ref="E33:G33"/>
    <mergeCell ref="E34:G34"/>
    <mergeCell ref="E35:G35"/>
    <mergeCell ref="A12:A13"/>
    <mergeCell ref="B12:B13"/>
    <mergeCell ref="C12:C13"/>
    <mergeCell ref="A14:A15"/>
    <mergeCell ref="B14:B15"/>
    <mergeCell ref="C14:C15"/>
    <mergeCell ref="A8:A9"/>
    <mergeCell ref="B8:B9"/>
    <mergeCell ref="C8:C9"/>
    <mergeCell ref="A10:A11"/>
    <mergeCell ref="B10:B11"/>
    <mergeCell ref="C10:C11"/>
    <mergeCell ref="B1:H1"/>
    <mergeCell ref="B2:G2"/>
    <mergeCell ref="A4:I4"/>
    <mergeCell ref="A6:A7"/>
    <mergeCell ref="B6:B7"/>
    <mergeCell ref="C6:C7"/>
  </mergeCells>
  <pageMargins left="0.7" right="0.7" top="0.75" bottom="0.75" header="0.3" footer="0.3"/>
  <pageSetup paperSize="9" scale="5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1" sqref="E11"/>
    </sheetView>
  </sheetViews>
  <sheetFormatPr defaultRowHeight="15"/>
  <cols>
    <col min="1" max="1" width="4.7109375" customWidth="1"/>
    <col min="2" max="2" width="32" customWidth="1"/>
    <col min="3" max="3" width="40.140625" customWidth="1"/>
    <col min="4" max="4" width="46.140625" customWidth="1"/>
    <col min="5" max="5" width="40.140625" customWidth="1"/>
  </cols>
  <sheetData>
    <row r="1" spans="1:5" ht="27" customHeight="1">
      <c r="B1" s="232" t="s">
        <v>232</v>
      </c>
    </row>
    <row r="2" spans="1:5" ht="30" customHeight="1">
      <c r="A2" s="233" t="s">
        <v>231</v>
      </c>
      <c r="B2" s="233" t="s">
        <v>219</v>
      </c>
      <c r="C2" s="233" t="s">
        <v>220</v>
      </c>
      <c r="D2" s="233" t="s">
        <v>221</v>
      </c>
      <c r="E2" s="233" t="s">
        <v>58</v>
      </c>
    </row>
    <row r="3" spans="1:5" ht="80.25" customHeight="1">
      <c r="A3" s="234">
        <v>1</v>
      </c>
      <c r="B3" s="234" t="s">
        <v>217</v>
      </c>
      <c r="C3" s="235" t="s">
        <v>218</v>
      </c>
      <c r="D3" s="235" t="s">
        <v>222</v>
      </c>
      <c r="E3" s="235" t="s">
        <v>223</v>
      </c>
    </row>
    <row r="4" spans="1:5" ht="78.75" customHeight="1">
      <c r="A4" s="234">
        <v>2</v>
      </c>
      <c r="B4" s="234" t="s">
        <v>224</v>
      </c>
      <c r="C4" s="235" t="s">
        <v>225</v>
      </c>
      <c r="D4" s="235" t="s">
        <v>226</v>
      </c>
      <c r="E4" s="235" t="s">
        <v>227</v>
      </c>
    </row>
    <row r="5" spans="1:5" ht="53.25" customHeight="1">
      <c r="A5" s="234">
        <v>3</v>
      </c>
      <c r="B5" s="234" t="s">
        <v>228</v>
      </c>
      <c r="C5" s="234" t="s">
        <v>229</v>
      </c>
      <c r="D5" s="235" t="s">
        <v>230</v>
      </c>
      <c r="E5" s="234"/>
    </row>
    <row r="6" spans="1:5" ht="25.5" customHeight="1"/>
    <row r="7" spans="1:5" ht="25.5" customHeight="1"/>
    <row r="8" spans="1:5" ht="25.5" customHeight="1"/>
    <row r="9" spans="1:5" ht="25.5" customHeight="1"/>
    <row r="10" spans="1:5" ht="25.5" customHeight="1"/>
    <row r="11" spans="1:5" ht="25.5" customHeight="1"/>
    <row r="12" spans="1:5" ht="25.5" customHeight="1"/>
    <row r="13" spans="1:5" ht="25.5" customHeight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Dữ Liệu</vt:lpstr>
      <vt:lpstr>Daily Report</vt:lpstr>
      <vt:lpstr>Cumulative Table</vt:lpstr>
      <vt:lpstr>Sheet3</vt:lpstr>
      <vt:lpstr>DEBIT T&amp;K</vt:lpstr>
      <vt:lpstr>MỤC TIÊU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Jessica</cp:lastModifiedBy>
  <cp:lastPrinted>2025-11-25T01:57:07Z</cp:lastPrinted>
  <dcterms:created xsi:type="dcterms:W3CDTF">2019-07-12T09:50:05Z</dcterms:created>
  <dcterms:modified xsi:type="dcterms:W3CDTF">2026-03-20T09:26:52Z</dcterms:modified>
</cp:coreProperties>
</file>